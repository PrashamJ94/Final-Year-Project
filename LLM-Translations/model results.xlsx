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brahimzada/Downloads/"/>
    </mc:Choice>
  </mc:AlternateContent>
  <xr:revisionPtr revIDLastSave="0" documentId="13_ncr:1_{CAF370B6-2094-1940-B98B-D845B026CF24}" xr6:coauthVersionLast="47" xr6:coauthVersionMax="47" xr10:uidLastSave="{00000000-0000-0000-0000-000000000000}"/>
  <bookViews>
    <workbookView xWindow="0" yWindow="0" windowWidth="28800" windowHeight="18000" xr2:uid="{8278DFBA-E74B-4F4D-A6A8-9A058F321CF1}"/>
  </bookViews>
  <sheets>
    <sheet name="CodeGen" sheetId="4" r:id="rId1"/>
    <sheet name="CodeGeeX" sheetId="1" r:id="rId2"/>
    <sheet name="StarCoder" sheetId="2" r:id="rId3"/>
    <sheet name="GPT-4" sheetId="3" r:id="rId4"/>
    <sheet name="Llama 2" sheetId="5" r:id="rId5"/>
    <sheet name="TB-Airoboros" sheetId="6" r:id="rId6"/>
    <sheet name="TB-Vicun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7" l="1"/>
  <c r="N35" i="7"/>
  <c r="M35" i="7"/>
  <c r="L35" i="7"/>
  <c r="K35" i="7"/>
  <c r="J35" i="7"/>
  <c r="I35" i="7"/>
  <c r="H35" i="7"/>
  <c r="G35" i="7"/>
  <c r="F35" i="7"/>
  <c r="E35" i="7"/>
  <c r="O34" i="7"/>
  <c r="N34" i="7"/>
  <c r="M34" i="7"/>
  <c r="L34" i="7"/>
  <c r="K34" i="7"/>
  <c r="J34" i="7"/>
  <c r="O33" i="7"/>
  <c r="N33" i="7"/>
  <c r="M33" i="7"/>
  <c r="L33" i="7"/>
  <c r="K33" i="7"/>
  <c r="J33" i="7"/>
  <c r="O32" i="7"/>
  <c r="N32" i="7"/>
  <c r="M32" i="7"/>
  <c r="L32" i="7"/>
  <c r="K32" i="7"/>
  <c r="J32" i="7"/>
  <c r="O31" i="7"/>
  <c r="N31" i="7"/>
  <c r="M31" i="7"/>
  <c r="L31" i="7"/>
  <c r="K31" i="7"/>
  <c r="O30" i="7"/>
  <c r="N30" i="7"/>
  <c r="M30" i="7"/>
  <c r="L30" i="7"/>
  <c r="K30" i="7"/>
  <c r="O29" i="7"/>
  <c r="N29" i="7"/>
  <c r="M29" i="7"/>
  <c r="L29" i="7"/>
  <c r="K29" i="7"/>
  <c r="O28" i="7"/>
  <c r="N28" i="7"/>
  <c r="M28" i="7"/>
  <c r="L28" i="7"/>
  <c r="K28" i="7"/>
  <c r="J28" i="7"/>
  <c r="O27" i="7"/>
  <c r="N27" i="7"/>
  <c r="M27" i="7"/>
  <c r="L27" i="7"/>
  <c r="K27" i="7"/>
  <c r="O26" i="7"/>
  <c r="N26" i="7"/>
  <c r="M26" i="7"/>
  <c r="L26" i="7"/>
  <c r="K26" i="7"/>
  <c r="O25" i="7"/>
  <c r="N25" i="7"/>
  <c r="M25" i="7"/>
  <c r="L25" i="7"/>
  <c r="K25" i="7"/>
  <c r="O24" i="7"/>
  <c r="N24" i="7"/>
  <c r="M24" i="7"/>
  <c r="L24" i="7"/>
  <c r="K24" i="7"/>
  <c r="J24" i="7"/>
  <c r="O23" i="7"/>
  <c r="N23" i="7"/>
  <c r="M23" i="7"/>
  <c r="L23" i="7"/>
  <c r="K23" i="7"/>
  <c r="O22" i="7"/>
  <c r="N22" i="7"/>
  <c r="M22" i="7"/>
  <c r="L22" i="7"/>
  <c r="K22" i="7"/>
  <c r="O21" i="7"/>
  <c r="N21" i="7"/>
  <c r="M21" i="7"/>
  <c r="L21" i="7"/>
  <c r="K21" i="7"/>
  <c r="O20" i="7"/>
  <c r="N20" i="7"/>
  <c r="M20" i="7"/>
  <c r="L20" i="7"/>
  <c r="K20" i="7"/>
  <c r="J20" i="7"/>
  <c r="O19" i="7"/>
  <c r="N19" i="7"/>
  <c r="M19" i="7"/>
  <c r="L19" i="7"/>
  <c r="K19" i="7"/>
  <c r="O18" i="7"/>
  <c r="N18" i="7"/>
  <c r="M18" i="7"/>
  <c r="L18" i="7"/>
  <c r="K18" i="7"/>
  <c r="O17" i="7"/>
  <c r="N17" i="7"/>
  <c r="M17" i="7"/>
  <c r="L17" i="7"/>
  <c r="K17" i="7"/>
  <c r="O16" i="7"/>
  <c r="N16" i="7"/>
  <c r="M16" i="7"/>
  <c r="L16" i="7"/>
  <c r="K16" i="7"/>
  <c r="J16" i="7"/>
  <c r="O15" i="7"/>
  <c r="N15" i="7"/>
  <c r="M15" i="7"/>
  <c r="L15" i="7"/>
  <c r="K15" i="7"/>
  <c r="O14" i="7"/>
  <c r="N14" i="7"/>
  <c r="M14" i="7"/>
  <c r="L14" i="7"/>
  <c r="K14" i="7"/>
  <c r="O13" i="7"/>
  <c r="N13" i="7"/>
  <c r="M13" i="7"/>
  <c r="L13" i="7"/>
  <c r="K13" i="7"/>
  <c r="O12" i="7"/>
  <c r="N12" i="7"/>
  <c r="M12" i="7"/>
  <c r="L12" i="7"/>
  <c r="K12" i="7"/>
  <c r="J12" i="7"/>
  <c r="O11" i="7"/>
  <c r="N11" i="7"/>
  <c r="M11" i="7"/>
  <c r="L11" i="7"/>
  <c r="K11" i="7"/>
  <c r="O10" i="7"/>
  <c r="N10" i="7"/>
  <c r="M10" i="7"/>
  <c r="L10" i="7"/>
  <c r="K10" i="7"/>
  <c r="O9" i="7"/>
  <c r="N9" i="7"/>
  <c r="M9" i="7"/>
  <c r="L9" i="7"/>
  <c r="K9" i="7"/>
  <c r="O8" i="7"/>
  <c r="N8" i="7"/>
  <c r="M8" i="7"/>
  <c r="L8" i="7"/>
  <c r="K8" i="7"/>
  <c r="J8" i="7"/>
  <c r="O7" i="7"/>
  <c r="N7" i="7"/>
  <c r="M7" i="7"/>
  <c r="L7" i="7"/>
  <c r="K7" i="7"/>
  <c r="O6" i="7"/>
  <c r="N6" i="7"/>
  <c r="M6" i="7"/>
  <c r="L6" i="7"/>
  <c r="K6" i="7"/>
  <c r="O5" i="7"/>
  <c r="N5" i="7"/>
  <c r="M5" i="7"/>
  <c r="L5" i="7"/>
  <c r="K5" i="7"/>
  <c r="O4" i="7"/>
  <c r="N4" i="7"/>
  <c r="M4" i="7"/>
  <c r="L4" i="7"/>
  <c r="K4" i="7"/>
  <c r="J4" i="7"/>
  <c r="O35" i="6"/>
  <c r="N35" i="6"/>
  <c r="M35" i="6"/>
  <c r="L35" i="6"/>
  <c r="K35" i="6"/>
  <c r="J35" i="6"/>
  <c r="I35" i="6"/>
  <c r="H35" i="6"/>
  <c r="G35" i="6"/>
  <c r="F35" i="6"/>
  <c r="E35" i="6"/>
  <c r="O34" i="6"/>
  <c r="N34" i="6"/>
  <c r="M34" i="6"/>
  <c r="L34" i="6"/>
  <c r="K34" i="6"/>
  <c r="J34" i="6"/>
  <c r="O33" i="6"/>
  <c r="N33" i="6"/>
  <c r="M33" i="6"/>
  <c r="L33" i="6"/>
  <c r="K33" i="6"/>
  <c r="J33" i="6"/>
  <c r="O32" i="6"/>
  <c r="N32" i="6"/>
  <c r="M32" i="6"/>
  <c r="L32" i="6"/>
  <c r="K32" i="6"/>
  <c r="J32" i="6"/>
  <c r="O31" i="6"/>
  <c r="N31" i="6"/>
  <c r="M31" i="6"/>
  <c r="L31" i="6"/>
  <c r="K31" i="6"/>
  <c r="O30" i="6"/>
  <c r="N30" i="6"/>
  <c r="M30" i="6"/>
  <c r="L30" i="6"/>
  <c r="K30" i="6"/>
  <c r="O29" i="6"/>
  <c r="N29" i="6"/>
  <c r="M29" i="6"/>
  <c r="L29" i="6"/>
  <c r="K29" i="6"/>
  <c r="O28" i="6"/>
  <c r="N28" i="6"/>
  <c r="M28" i="6"/>
  <c r="L28" i="6"/>
  <c r="K28" i="6"/>
  <c r="J28" i="6"/>
  <c r="O27" i="6"/>
  <c r="N27" i="6"/>
  <c r="M27" i="6"/>
  <c r="L27" i="6"/>
  <c r="K27" i="6"/>
  <c r="O26" i="6"/>
  <c r="N26" i="6"/>
  <c r="M26" i="6"/>
  <c r="L26" i="6"/>
  <c r="K26" i="6"/>
  <c r="O25" i="6"/>
  <c r="N25" i="6"/>
  <c r="M25" i="6"/>
  <c r="L25" i="6"/>
  <c r="K25" i="6"/>
  <c r="O24" i="6"/>
  <c r="N24" i="6"/>
  <c r="M24" i="6"/>
  <c r="L24" i="6"/>
  <c r="K24" i="6"/>
  <c r="J24" i="6"/>
  <c r="O23" i="6"/>
  <c r="N23" i="6"/>
  <c r="M23" i="6"/>
  <c r="L23" i="6"/>
  <c r="K23" i="6"/>
  <c r="O22" i="6"/>
  <c r="N22" i="6"/>
  <c r="M22" i="6"/>
  <c r="L22" i="6"/>
  <c r="K22" i="6"/>
  <c r="O21" i="6"/>
  <c r="N21" i="6"/>
  <c r="M21" i="6"/>
  <c r="L21" i="6"/>
  <c r="K21" i="6"/>
  <c r="O20" i="6"/>
  <c r="N20" i="6"/>
  <c r="M20" i="6"/>
  <c r="L20" i="6"/>
  <c r="K20" i="6"/>
  <c r="J20" i="6"/>
  <c r="O19" i="6"/>
  <c r="N19" i="6"/>
  <c r="M19" i="6"/>
  <c r="L19" i="6"/>
  <c r="K19" i="6"/>
  <c r="O18" i="6"/>
  <c r="N18" i="6"/>
  <c r="M18" i="6"/>
  <c r="L18" i="6"/>
  <c r="K18" i="6"/>
  <c r="O17" i="6"/>
  <c r="N17" i="6"/>
  <c r="M17" i="6"/>
  <c r="L17" i="6"/>
  <c r="K17" i="6"/>
  <c r="O16" i="6"/>
  <c r="N16" i="6"/>
  <c r="M16" i="6"/>
  <c r="L16" i="6"/>
  <c r="K16" i="6"/>
  <c r="J16" i="6"/>
  <c r="O15" i="6"/>
  <c r="N15" i="6"/>
  <c r="M15" i="6"/>
  <c r="L15" i="6"/>
  <c r="K15" i="6"/>
  <c r="O14" i="6"/>
  <c r="N14" i="6"/>
  <c r="M14" i="6"/>
  <c r="L14" i="6"/>
  <c r="K14" i="6"/>
  <c r="O13" i="6"/>
  <c r="N13" i="6"/>
  <c r="M13" i="6"/>
  <c r="L13" i="6"/>
  <c r="K13" i="6"/>
  <c r="O12" i="6"/>
  <c r="N12" i="6"/>
  <c r="M12" i="6"/>
  <c r="L12" i="6"/>
  <c r="K12" i="6"/>
  <c r="J12" i="6"/>
  <c r="O11" i="6"/>
  <c r="N11" i="6"/>
  <c r="M11" i="6"/>
  <c r="L11" i="6"/>
  <c r="K11" i="6"/>
  <c r="O10" i="6"/>
  <c r="N10" i="6"/>
  <c r="M10" i="6"/>
  <c r="L10" i="6"/>
  <c r="K10" i="6"/>
  <c r="O9" i="6"/>
  <c r="N9" i="6"/>
  <c r="M9" i="6"/>
  <c r="L9" i="6"/>
  <c r="K9" i="6"/>
  <c r="O8" i="6"/>
  <c r="N8" i="6"/>
  <c r="M8" i="6"/>
  <c r="L8" i="6"/>
  <c r="K8" i="6"/>
  <c r="J8" i="6"/>
  <c r="O7" i="6"/>
  <c r="N7" i="6"/>
  <c r="M7" i="6"/>
  <c r="L7" i="6"/>
  <c r="K7" i="6"/>
  <c r="O6" i="6"/>
  <c r="N6" i="6"/>
  <c r="M6" i="6"/>
  <c r="L6" i="6"/>
  <c r="K6" i="6"/>
  <c r="O5" i="6"/>
  <c r="N5" i="6"/>
  <c r="M5" i="6"/>
  <c r="L5" i="6"/>
  <c r="K5" i="6"/>
  <c r="O4" i="6"/>
  <c r="N4" i="6"/>
  <c r="M4" i="6"/>
  <c r="L4" i="6"/>
  <c r="K4" i="6"/>
  <c r="J4" i="6"/>
  <c r="O35" i="5"/>
  <c r="N35" i="5"/>
  <c r="M35" i="5"/>
  <c r="L35" i="5"/>
  <c r="K35" i="5"/>
  <c r="J35" i="5"/>
  <c r="I35" i="5"/>
  <c r="H35" i="5"/>
  <c r="G35" i="5"/>
  <c r="F35" i="5"/>
  <c r="E35" i="5"/>
  <c r="O34" i="5"/>
  <c r="N34" i="5"/>
  <c r="M34" i="5"/>
  <c r="L34" i="5"/>
  <c r="K34" i="5"/>
  <c r="J34" i="5"/>
  <c r="O33" i="5"/>
  <c r="N33" i="5"/>
  <c r="M33" i="5"/>
  <c r="L33" i="5"/>
  <c r="K33" i="5"/>
  <c r="J33" i="5"/>
  <c r="O32" i="5"/>
  <c r="N32" i="5"/>
  <c r="M32" i="5"/>
  <c r="L32" i="5"/>
  <c r="K32" i="5"/>
  <c r="J32" i="5"/>
  <c r="O31" i="5"/>
  <c r="N31" i="5"/>
  <c r="M31" i="5"/>
  <c r="L31" i="5"/>
  <c r="K31" i="5"/>
  <c r="O30" i="5"/>
  <c r="N30" i="5"/>
  <c r="M30" i="5"/>
  <c r="L30" i="5"/>
  <c r="K30" i="5"/>
  <c r="O29" i="5"/>
  <c r="N29" i="5"/>
  <c r="M29" i="5"/>
  <c r="L29" i="5"/>
  <c r="K29" i="5"/>
  <c r="O28" i="5"/>
  <c r="N28" i="5"/>
  <c r="M28" i="5"/>
  <c r="L28" i="5"/>
  <c r="K28" i="5"/>
  <c r="J28" i="5"/>
  <c r="O27" i="5"/>
  <c r="N27" i="5"/>
  <c r="M27" i="5"/>
  <c r="L27" i="5"/>
  <c r="K27" i="5"/>
  <c r="O26" i="5"/>
  <c r="N26" i="5"/>
  <c r="M26" i="5"/>
  <c r="L26" i="5"/>
  <c r="K26" i="5"/>
  <c r="O25" i="5"/>
  <c r="N25" i="5"/>
  <c r="M25" i="5"/>
  <c r="L25" i="5"/>
  <c r="K25" i="5"/>
  <c r="O24" i="5"/>
  <c r="N24" i="5"/>
  <c r="M24" i="5"/>
  <c r="L24" i="5"/>
  <c r="K24" i="5"/>
  <c r="J24" i="5"/>
  <c r="O23" i="5"/>
  <c r="N23" i="5"/>
  <c r="M23" i="5"/>
  <c r="L23" i="5"/>
  <c r="K23" i="5"/>
  <c r="O22" i="5"/>
  <c r="N22" i="5"/>
  <c r="M22" i="5"/>
  <c r="L22" i="5"/>
  <c r="K22" i="5"/>
  <c r="O21" i="5"/>
  <c r="N21" i="5"/>
  <c r="M21" i="5"/>
  <c r="L21" i="5"/>
  <c r="K21" i="5"/>
  <c r="O20" i="5"/>
  <c r="N20" i="5"/>
  <c r="M20" i="5"/>
  <c r="L20" i="5"/>
  <c r="K20" i="5"/>
  <c r="J20" i="5"/>
  <c r="O19" i="5"/>
  <c r="N19" i="5"/>
  <c r="M19" i="5"/>
  <c r="L19" i="5"/>
  <c r="K19" i="5"/>
  <c r="O18" i="5"/>
  <c r="N18" i="5"/>
  <c r="M18" i="5"/>
  <c r="L18" i="5"/>
  <c r="K18" i="5"/>
  <c r="O17" i="5"/>
  <c r="N17" i="5"/>
  <c r="M17" i="5"/>
  <c r="L17" i="5"/>
  <c r="K17" i="5"/>
  <c r="O16" i="5"/>
  <c r="N16" i="5"/>
  <c r="M16" i="5"/>
  <c r="L16" i="5"/>
  <c r="K16" i="5"/>
  <c r="J16" i="5"/>
  <c r="O15" i="5"/>
  <c r="N15" i="5"/>
  <c r="M15" i="5"/>
  <c r="L15" i="5"/>
  <c r="K15" i="5"/>
  <c r="O14" i="5"/>
  <c r="N14" i="5"/>
  <c r="M14" i="5"/>
  <c r="L14" i="5"/>
  <c r="K14" i="5"/>
  <c r="O13" i="5"/>
  <c r="N13" i="5"/>
  <c r="M13" i="5"/>
  <c r="L13" i="5"/>
  <c r="K13" i="5"/>
  <c r="O12" i="5"/>
  <c r="N12" i="5"/>
  <c r="M12" i="5"/>
  <c r="L12" i="5"/>
  <c r="K12" i="5"/>
  <c r="J12" i="5"/>
  <c r="O11" i="5"/>
  <c r="N11" i="5"/>
  <c r="M11" i="5"/>
  <c r="L11" i="5"/>
  <c r="K11" i="5"/>
  <c r="O10" i="5"/>
  <c r="N10" i="5"/>
  <c r="M10" i="5"/>
  <c r="L10" i="5"/>
  <c r="K10" i="5"/>
  <c r="O9" i="5"/>
  <c r="N9" i="5"/>
  <c r="M9" i="5"/>
  <c r="L9" i="5"/>
  <c r="K9" i="5"/>
  <c r="O8" i="5"/>
  <c r="N8" i="5"/>
  <c r="M8" i="5"/>
  <c r="L8" i="5"/>
  <c r="K8" i="5"/>
  <c r="J8" i="5"/>
  <c r="O7" i="5"/>
  <c r="N7" i="5"/>
  <c r="M7" i="5"/>
  <c r="L7" i="5"/>
  <c r="K7" i="5"/>
  <c r="O6" i="5"/>
  <c r="N6" i="5"/>
  <c r="M6" i="5"/>
  <c r="L6" i="5"/>
  <c r="K6" i="5"/>
  <c r="O5" i="5"/>
  <c r="N5" i="5"/>
  <c r="M5" i="5"/>
  <c r="L5" i="5"/>
  <c r="K5" i="5"/>
  <c r="O4" i="5"/>
  <c r="N4" i="5"/>
  <c r="M4" i="5"/>
  <c r="L4" i="5"/>
  <c r="K4" i="5"/>
  <c r="J4" i="5"/>
  <c r="O35" i="4"/>
  <c r="N35" i="4"/>
  <c r="M35" i="4"/>
  <c r="L35" i="4"/>
  <c r="I35" i="4"/>
  <c r="H35" i="4"/>
  <c r="G35" i="4"/>
  <c r="F35" i="4"/>
  <c r="E35" i="4"/>
  <c r="O34" i="4"/>
  <c r="N34" i="4"/>
  <c r="M34" i="4"/>
  <c r="L34" i="4"/>
  <c r="K34" i="4"/>
  <c r="J34" i="4"/>
  <c r="O33" i="4"/>
  <c r="N33" i="4"/>
  <c r="M33" i="4"/>
  <c r="L33" i="4"/>
  <c r="K33" i="4"/>
  <c r="K35" i="4" s="1"/>
  <c r="J33" i="4"/>
  <c r="J35" i="4" s="1"/>
  <c r="O32" i="4"/>
  <c r="N32" i="4"/>
  <c r="M32" i="4"/>
  <c r="L32" i="4"/>
  <c r="K32" i="4"/>
  <c r="J32" i="4"/>
  <c r="O31" i="4"/>
  <c r="N31" i="4"/>
  <c r="M31" i="4"/>
  <c r="L31" i="4"/>
  <c r="K31" i="4"/>
  <c r="O30" i="4"/>
  <c r="N30" i="4"/>
  <c r="M30" i="4"/>
  <c r="L30" i="4"/>
  <c r="K30" i="4"/>
  <c r="O29" i="4"/>
  <c r="N29" i="4"/>
  <c r="M29" i="4"/>
  <c r="L29" i="4"/>
  <c r="K29" i="4"/>
  <c r="O28" i="4"/>
  <c r="N28" i="4"/>
  <c r="M28" i="4"/>
  <c r="L28" i="4"/>
  <c r="K28" i="4"/>
  <c r="J28" i="4"/>
  <c r="O27" i="4"/>
  <c r="N27" i="4"/>
  <c r="M27" i="4"/>
  <c r="L27" i="4"/>
  <c r="K27" i="4"/>
  <c r="O26" i="4"/>
  <c r="N26" i="4"/>
  <c r="M26" i="4"/>
  <c r="L26" i="4"/>
  <c r="K26" i="4"/>
  <c r="O25" i="4"/>
  <c r="N25" i="4"/>
  <c r="M25" i="4"/>
  <c r="L25" i="4"/>
  <c r="K25" i="4"/>
  <c r="O24" i="4"/>
  <c r="N24" i="4"/>
  <c r="M24" i="4"/>
  <c r="L24" i="4"/>
  <c r="K24" i="4"/>
  <c r="J24" i="4"/>
  <c r="O23" i="4"/>
  <c r="N23" i="4"/>
  <c r="M23" i="4"/>
  <c r="L23" i="4"/>
  <c r="K23" i="4"/>
  <c r="O22" i="4"/>
  <c r="N22" i="4"/>
  <c r="M22" i="4"/>
  <c r="L22" i="4"/>
  <c r="K22" i="4"/>
  <c r="O21" i="4"/>
  <c r="N21" i="4"/>
  <c r="M21" i="4"/>
  <c r="L21" i="4"/>
  <c r="K21" i="4"/>
  <c r="O20" i="4"/>
  <c r="N20" i="4"/>
  <c r="M20" i="4"/>
  <c r="L20" i="4"/>
  <c r="K20" i="4"/>
  <c r="J20" i="4"/>
  <c r="O19" i="4"/>
  <c r="N19" i="4"/>
  <c r="M19" i="4"/>
  <c r="L19" i="4"/>
  <c r="K19" i="4"/>
  <c r="O18" i="4"/>
  <c r="N18" i="4"/>
  <c r="M18" i="4"/>
  <c r="L18" i="4"/>
  <c r="K18" i="4"/>
  <c r="O17" i="4"/>
  <c r="N17" i="4"/>
  <c r="M17" i="4"/>
  <c r="L17" i="4"/>
  <c r="K17" i="4"/>
  <c r="O16" i="4"/>
  <c r="N16" i="4"/>
  <c r="M16" i="4"/>
  <c r="L16" i="4"/>
  <c r="K16" i="4"/>
  <c r="J16" i="4"/>
  <c r="O15" i="4"/>
  <c r="N15" i="4"/>
  <c r="M15" i="4"/>
  <c r="L15" i="4"/>
  <c r="K15" i="4"/>
  <c r="O14" i="4"/>
  <c r="N14" i="4"/>
  <c r="M14" i="4"/>
  <c r="L14" i="4"/>
  <c r="K14" i="4"/>
  <c r="O13" i="4"/>
  <c r="N13" i="4"/>
  <c r="M13" i="4"/>
  <c r="L13" i="4"/>
  <c r="K13" i="4"/>
  <c r="O12" i="4"/>
  <c r="N12" i="4"/>
  <c r="M12" i="4"/>
  <c r="L12" i="4"/>
  <c r="K12" i="4"/>
  <c r="J12" i="4"/>
  <c r="O11" i="4"/>
  <c r="N11" i="4"/>
  <c r="M11" i="4"/>
  <c r="L11" i="4"/>
  <c r="K11" i="4"/>
  <c r="O10" i="4"/>
  <c r="N10" i="4"/>
  <c r="M10" i="4"/>
  <c r="L10" i="4"/>
  <c r="K10" i="4"/>
  <c r="O9" i="4"/>
  <c r="N9" i="4"/>
  <c r="M9" i="4"/>
  <c r="L9" i="4"/>
  <c r="K9" i="4"/>
  <c r="O8" i="4"/>
  <c r="N8" i="4"/>
  <c r="M8" i="4"/>
  <c r="L8" i="4"/>
  <c r="K8" i="4"/>
  <c r="J8" i="4"/>
  <c r="O7" i="4"/>
  <c r="N7" i="4"/>
  <c r="M7" i="4"/>
  <c r="L7" i="4"/>
  <c r="K7" i="4"/>
  <c r="O6" i="4"/>
  <c r="N6" i="4"/>
  <c r="M6" i="4"/>
  <c r="L6" i="4"/>
  <c r="K6" i="4"/>
  <c r="O5" i="4"/>
  <c r="N5" i="4"/>
  <c r="M5" i="4"/>
  <c r="L5" i="4"/>
  <c r="K5" i="4"/>
  <c r="O4" i="4"/>
  <c r="N4" i="4"/>
  <c r="M4" i="4"/>
  <c r="L4" i="4"/>
  <c r="K4" i="4"/>
  <c r="J4" i="4"/>
  <c r="O35" i="3"/>
  <c r="N35" i="3"/>
  <c r="M35" i="3"/>
  <c r="L35" i="3"/>
  <c r="J35" i="3"/>
  <c r="I35" i="3"/>
  <c r="H35" i="3"/>
  <c r="G35" i="3"/>
  <c r="F35" i="3"/>
  <c r="E35" i="3"/>
  <c r="O34" i="3"/>
  <c r="N34" i="3"/>
  <c r="M34" i="3"/>
  <c r="L34" i="3"/>
  <c r="K34" i="3"/>
  <c r="J34" i="3"/>
  <c r="O33" i="3"/>
  <c r="N33" i="3"/>
  <c r="M33" i="3"/>
  <c r="L33" i="3"/>
  <c r="K33" i="3"/>
  <c r="K35" i="3" s="1"/>
  <c r="J33" i="3"/>
  <c r="O32" i="3"/>
  <c r="N32" i="3"/>
  <c r="M32" i="3"/>
  <c r="L32" i="3"/>
  <c r="K32" i="3"/>
  <c r="J32" i="3"/>
  <c r="O31" i="3"/>
  <c r="N31" i="3"/>
  <c r="M31" i="3"/>
  <c r="L31" i="3"/>
  <c r="K31" i="3"/>
  <c r="O30" i="3"/>
  <c r="N30" i="3"/>
  <c r="M30" i="3"/>
  <c r="L30" i="3"/>
  <c r="K30" i="3"/>
  <c r="O29" i="3"/>
  <c r="N29" i="3"/>
  <c r="M29" i="3"/>
  <c r="L29" i="3"/>
  <c r="K29" i="3"/>
  <c r="O28" i="3"/>
  <c r="N28" i="3"/>
  <c r="M28" i="3"/>
  <c r="L28" i="3"/>
  <c r="K28" i="3"/>
  <c r="J28" i="3"/>
  <c r="O27" i="3"/>
  <c r="N27" i="3"/>
  <c r="M27" i="3"/>
  <c r="L27" i="3"/>
  <c r="K27" i="3"/>
  <c r="O26" i="3"/>
  <c r="N26" i="3"/>
  <c r="M26" i="3"/>
  <c r="L26" i="3"/>
  <c r="K26" i="3"/>
  <c r="O25" i="3"/>
  <c r="N25" i="3"/>
  <c r="M25" i="3"/>
  <c r="L25" i="3"/>
  <c r="K25" i="3"/>
  <c r="O24" i="3"/>
  <c r="N24" i="3"/>
  <c r="M24" i="3"/>
  <c r="L24" i="3"/>
  <c r="K24" i="3"/>
  <c r="J24" i="3"/>
  <c r="O23" i="3"/>
  <c r="N23" i="3"/>
  <c r="M23" i="3"/>
  <c r="L23" i="3"/>
  <c r="K23" i="3"/>
  <c r="O22" i="3"/>
  <c r="N22" i="3"/>
  <c r="M22" i="3"/>
  <c r="L22" i="3"/>
  <c r="K22" i="3"/>
  <c r="O21" i="3"/>
  <c r="N21" i="3"/>
  <c r="M21" i="3"/>
  <c r="L21" i="3"/>
  <c r="K21" i="3"/>
  <c r="O20" i="3"/>
  <c r="N20" i="3"/>
  <c r="M20" i="3"/>
  <c r="L20" i="3"/>
  <c r="K20" i="3"/>
  <c r="J20" i="3"/>
  <c r="O19" i="3"/>
  <c r="N19" i="3"/>
  <c r="M19" i="3"/>
  <c r="L19" i="3"/>
  <c r="K19" i="3"/>
  <c r="O18" i="3"/>
  <c r="N18" i="3"/>
  <c r="M18" i="3"/>
  <c r="L18" i="3"/>
  <c r="K18" i="3"/>
  <c r="O17" i="3"/>
  <c r="N17" i="3"/>
  <c r="M17" i="3"/>
  <c r="L17" i="3"/>
  <c r="K17" i="3"/>
  <c r="O16" i="3"/>
  <c r="N16" i="3"/>
  <c r="M16" i="3"/>
  <c r="L16" i="3"/>
  <c r="K16" i="3"/>
  <c r="J16" i="3"/>
  <c r="O15" i="3"/>
  <c r="N15" i="3"/>
  <c r="M15" i="3"/>
  <c r="L15" i="3"/>
  <c r="K15" i="3"/>
  <c r="O14" i="3"/>
  <c r="N14" i="3"/>
  <c r="M14" i="3"/>
  <c r="L14" i="3"/>
  <c r="K14" i="3"/>
  <c r="O13" i="3"/>
  <c r="N13" i="3"/>
  <c r="M13" i="3"/>
  <c r="L13" i="3"/>
  <c r="K13" i="3"/>
  <c r="O12" i="3"/>
  <c r="N12" i="3"/>
  <c r="M12" i="3"/>
  <c r="L12" i="3"/>
  <c r="K12" i="3"/>
  <c r="J12" i="3"/>
  <c r="O11" i="3"/>
  <c r="N11" i="3"/>
  <c r="M11" i="3"/>
  <c r="L11" i="3"/>
  <c r="K11" i="3"/>
  <c r="O10" i="3"/>
  <c r="N10" i="3"/>
  <c r="M10" i="3"/>
  <c r="L10" i="3"/>
  <c r="K10" i="3"/>
  <c r="O9" i="3"/>
  <c r="N9" i="3"/>
  <c r="M9" i="3"/>
  <c r="L9" i="3"/>
  <c r="K9" i="3"/>
  <c r="O8" i="3"/>
  <c r="N8" i="3"/>
  <c r="M8" i="3"/>
  <c r="L8" i="3"/>
  <c r="K8" i="3"/>
  <c r="J8" i="3"/>
  <c r="O7" i="3"/>
  <c r="N7" i="3"/>
  <c r="M7" i="3"/>
  <c r="L7" i="3"/>
  <c r="K7" i="3"/>
  <c r="O6" i="3"/>
  <c r="N6" i="3"/>
  <c r="M6" i="3"/>
  <c r="L6" i="3"/>
  <c r="K6" i="3"/>
  <c r="O5" i="3"/>
  <c r="N5" i="3"/>
  <c r="M5" i="3"/>
  <c r="L5" i="3"/>
  <c r="K5" i="3"/>
  <c r="O4" i="3"/>
  <c r="N4" i="3"/>
  <c r="M4" i="3"/>
  <c r="L4" i="3"/>
  <c r="K4" i="3"/>
  <c r="J4" i="3"/>
  <c r="O35" i="2"/>
  <c r="N35" i="2"/>
  <c r="M35" i="2"/>
  <c r="L35" i="2"/>
  <c r="K35" i="2"/>
  <c r="J35" i="2"/>
  <c r="I35" i="2"/>
  <c r="H35" i="2"/>
  <c r="G35" i="2"/>
  <c r="F35" i="2"/>
  <c r="E35" i="2"/>
  <c r="O34" i="2"/>
  <c r="N34" i="2"/>
  <c r="M34" i="2"/>
  <c r="L34" i="2"/>
  <c r="K34" i="2"/>
  <c r="J34" i="2"/>
  <c r="O33" i="2"/>
  <c r="N33" i="2"/>
  <c r="M33" i="2"/>
  <c r="L33" i="2"/>
  <c r="K33" i="2"/>
  <c r="J33" i="2"/>
  <c r="O32" i="2"/>
  <c r="N32" i="2"/>
  <c r="M32" i="2"/>
  <c r="L32" i="2"/>
  <c r="K32" i="2"/>
  <c r="J32" i="2"/>
  <c r="O31" i="2"/>
  <c r="N31" i="2"/>
  <c r="M31" i="2"/>
  <c r="L31" i="2"/>
  <c r="K31" i="2"/>
  <c r="O30" i="2"/>
  <c r="N30" i="2"/>
  <c r="M30" i="2"/>
  <c r="L30" i="2"/>
  <c r="K30" i="2"/>
  <c r="O29" i="2"/>
  <c r="N29" i="2"/>
  <c r="M29" i="2"/>
  <c r="L29" i="2"/>
  <c r="K29" i="2"/>
  <c r="O28" i="2"/>
  <c r="N28" i="2"/>
  <c r="M28" i="2"/>
  <c r="L28" i="2"/>
  <c r="K28" i="2"/>
  <c r="J28" i="2"/>
  <c r="O27" i="2"/>
  <c r="N27" i="2"/>
  <c r="M27" i="2"/>
  <c r="L27" i="2"/>
  <c r="K27" i="2"/>
  <c r="O26" i="2"/>
  <c r="N26" i="2"/>
  <c r="M26" i="2"/>
  <c r="L26" i="2"/>
  <c r="K26" i="2"/>
  <c r="O25" i="2"/>
  <c r="N25" i="2"/>
  <c r="M25" i="2"/>
  <c r="L25" i="2"/>
  <c r="K25" i="2"/>
  <c r="O24" i="2"/>
  <c r="N24" i="2"/>
  <c r="M24" i="2"/>
  <c r="L24" i="2"/>
  <c r="K24" i="2"/>
  <c r="J24" i="2"/>
  <c r="O23" i="2"/>
  <c r="N23" i="2"/>
  <c r="M23" i="2"/>
  <c r="L23" i="2"/>
  <c r="K23" i="2"/>
  <c r="O22" i="2"/>
  <c r="N22" i="2"/>
  <c r="M22" i="2"/>
  <c r="L22" i="2"/>
  <c r="K22" i="2"/>
  <c r="O21" i="2"/>
  <c r="N21" i="2"/>
  <c r="M21" i="2"/>
  <c r="L21" i="2"/>
  <c r="K21" i="2"/>
  <c r="O20" i="2"/>
  <c r="N20" i="2"/>
  <c r="M20" i="2"/>
  <c r="L20" i="2"/>
  <c r="K20" i="2"/>
  <c r="J20" i="2"/>
  <c r="O19" i="2"/>
  <c r="N19" i="2"/>
  <c r="M19" i="2"/>
  <c r="L19" i="2"/>
  <c r="K19" i="2"/>
  <c r="O18" i="2"/>
  <c r="N18" i="2"/>
  <c r="M18" i="2"/>
  <c r="L18" i="2"/>
  <c r="K18" i="2"/>
  <c r="O17" i="2"/>
  <c r="N17" i="2"/>
  <c r="M17" i="2"/>
  <c r="L17" i="2"/>
  <c r="K17" i="2"/>
  <c r="O16" i="2"/>
  <c r="N16" i="2"/>
  <c r="M16" i="2"/>
  <c r="L16" i="2"/>
  <c r="K16" i="2"/>
  <c r="J16" i="2"/>
  <c r="O15" i="2"/>
  <c r="N15" i="2"/>
  <c r="M15" i="2"/>
  <c r="L15" i="2"/>
  <c r="K15" i="2"/>
  <c r="O14" i="2"/>
  <c r="N14" i="2"/>
  <c r="M14" i="2"/>
  <c r="L14" i="2"/>
  <c r="K14" i="2"/>
  <c r="O13" i="2"/>
  <c r="N13" i="2"/>
  <c r="M13" i="2"/>
  <c r="L13" i="2"/>
  <c r="K13" i="2"/>
  <c r="O12" i="2"/>
  <c r="N12" i="2"/>
  <c r="M12" i="2"/>
  <c r="L12" i="2"/>
  <c r="K12" i="2"/>
  <c r="J12" i="2"/>
  <c r="O11" i="2"/>
  <c r="N11" i="2"/>
  <c r="M11" i="2"/>
  <c r="L11" i="2"/>
  <c r="K11" i="2"/>
  <c r="O10" i="2"/>
  <c r="N10" i="2"/>
  <c r="M10" i="2"/>
  <c r="L10" i="2"/>
  <c r="K10" i="2"/>
  <c r="O9" i="2"/>
  <c r="N9" i="2"/>
  <c r="M9" i="2"/>
  <c r="L9" i="2"/>
  <c r="K9" i="2"/>
  <c r="O8" i="2"/>
  <c r="N8" i="2"/>
  <c r="M8" i="2"/>
  <c r="L8" i="2"/>
  <c r="K8" i="2"/>
  <c r="J8" i="2"/>
  <c r="O7" i="2"/>
  <c r="N7" i="2"/>
  <c r="M7" i="2"/>
  <c r="L7" i="2"/>
  <c r="K7" i="2"/>
  <c r="O6" i="2"/>
  <c r="N6" i="2"/>
  <c r="M6" i="2"/>
  <c r="L6" i="2"/>
  <c r="K6" i="2"/>
  <c r="O5" i="2"/>
  <c r="N5" i="2"/>
  <c r="M5" i="2"/>
  <c r="L5" i="2"/>
  <c r="K5" i="2"/>
  <c r="O4" i="2"/>
  <c r="N4" i="2"/>
  <c r="M4" i="2"/>
  <c r="L4" i="2"/>
  <c r="K4" i="2"/>
  <c r="J4" i="2"/>
  <c r="J35" i="1"/>
  <c r="J34" i="1"/>
  <c r="J33" i="1"/>
  <c r="J32" i="1"/>
  <c r="J28" i="1"/>
  <c r="J24" i="1"/>
  <c r="J20" i="1"/>
  <c r="J16" i="1"/>
  <c r="J12" i="1"/>
  <c r="J8" i="1"/>
  <c r="J4" i="1"/>
  <c r="K25" i="1"/>
  <c r="L25" i="1"/>
  <c r="M25" i="1"/>
  <c r="N25" i="1"/>
  <c r="O25" i="1"/>
  <c r="K26" i="1"/>
  <c r="L26" i="1"/>
  <c r="M26" i="1"/>
  <c r="N26" i="1"/>
  <c r="O26" i="1"/>
  <c r="K27" i="1"/>
  <c r="L27" i="1"/>
  <c r="M27" i="1"/>
  <c r="N27" i="1"/>
  <c r="O27" i="1"/>
  <c r="O24" i="1"/>
  <c r="N24" i="1"/>
  <c r="M24" i="1"/>
  <c r="L24" i="1"/>
  <c r="K24" i="1"/>
  <c r="O32" i="1"/>
  <c r="N32" i="1"/>
  <c r="M32" i="1"/>
  <c r="L32" i="1"/>
  <c r="K32" i="1"/>
  <c r="O34" i="1"/>
  <c r="N34" i="1"/>
  <c r="M34" i="1"/>
  <c r="L34" i="1"/>
  <c r="K34" i="1"/>
  <c r="O33" i="1"/>
  <c r="N33" i="1"/>
  <c r="M33" i="1"/>
  <c r="L33" i="1"/>
  <c r="K33" i="1"/>
  <c r="M28" i="1"/>
  <c r="N28" i="1"/>
  <c r="O28" i="1"/>
  <c r="M29" i="1"/>
  <c r="N29" i="1"/>
  <c r="O29" i="1"/>
  <c r="M30" i="1"/>
  <c r="N30" i="1"/>
  <c r="O30" i="1"/>
  <c r="M31" i="1"/>
  <c r="N31" i="1"/>
  <c r="O31" i="1"/>
  <c r="M35" i="1"/>
  <c r="K28" i="1"/>
  <c r="K29" i="1"/>
  <c r="K30" i="1"/>
  <c r="K31" i="1"/>
  <c r="L28" i="1"/>
  <c r="L29" i="1"/>
  <c r="L30" i="1"/>
  <c r="L31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O4" i="1"/>
  <c r="N4" i="1"/>
  <c r="M4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4" i="1"/>
  <c r="I35" i="1"/>
  <c r="H35" i="1"/>
  <c r="G35" i="1"/>
  <c r="F35" i="1"/>
  <c r="E35" i="1"/>
  <c r="K35" i="1" l="1"/>
  <c r="O35" i="1"/>
  <c r="N35" i="1"/>
  <c r="L35" i="1"/>
</calcChain>
</file>

<file path=xl/sharedStrings.xml><?xml version="1.0" encoding="utf-8"?>
<sst xmlns="http://schemas.openxmlformats.org/spreadsheetml/2006/main" count="427" uniqueCount="27">
  <si>
    <t>dataset</t>
  </si>
  <si>
    <t>source</t>
  </si>
  <si>
    <t>target</t>
  </si>
  <si>
    <t>script accuracy %</t>
  </si>
  <si>
    <t>script compilation error %</t>
  </si>
  <si>
    <t>script runtime error %</t>
  </si>
  <si>
    <t>script wrong output %</t>
  </si>
  <si>
    <t>script infinite loop %</t>
  </si>
  <si>
    <t>codenet</t>
  </si>
  <si>
    <t>c</t>
  </si>
  <si>
    <t>c++</t>
  </si>
  <si>
    <t>go</t>
  </si>
  <si>
    <t>java</t>
  </si>
  <si>
    <t>python</t>
  </si>
  <si>
    <t>avatar</t>
  </si>
  <si>
    <t>evalplus</t>
  </si>
  <si>
    <t>Java</t>
  </si>
  <si>
    <t>Click</t>
  </si>
  <si>
    <t>Total/Average</t>
  </si>
  <si>
    <t>py</t>
  </si>
  <si>
    <t>avg source acc %</t>
  </si>
  <si>
    <t>num correct</t>
  </si>
  <si>
    <t>num compilation</t>
  </si>
  <si>
    <t>num runtime</t>
  </si>
  <si>
    <t>num incorrect</t>
  </si>
  <si>
    <t>num non-terminating</t>
  </si>
  <si>
    <t>Commons-CLI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</si>
</sst>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7" borderId="9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3E6B-2DD2-124C-8214-D5508C8B2E2F}">
  <dimension ref="B3:O35"/>
  <sheetViews>
    <sheetView tabSelected="1" workbookViewId="0">
      <selection activeCell="E38" sqref="E38"/>
    </sheetView>
  </sheetViews>
  <sheetFormatPr baseColWidth="10" defaultColWidth="8.83203125" defaultRowHeight="15" x14ac:dyDescent="0.2"/>
  <cols>
    <col min="2" max="2" width="11.5" customWidth="1"/>
    <col min="3" max="3" width="16.5" customWidth="1"/>
    <col min="4" max="4" width="12.5" customWidth="1"/>
    <col min="5" max="5" width="18.6640625" customWidth="1"/>
    <col min="6" max="6" width="26.33203125" customWidth="1"/>
    <col min="7" max="7" width="24.1640625" customWidth="1"/>
    <col min="8" max="8" width="22.83203125" customWidth="1"/>
    <col min="9" max="9" width="21.5" customWidth="1"/>
    <col min="10" max="10" width="16.83203125" customWidth="1"/>
    <col min="11" max="11" width="13.5" customWidth="1"/>
    <col min="12" max="12" width="15.6640625" customWidth="1"/>
    <col min="13" max="13" width="13.83203125" customWidth="1"/>
    <col min="14" max="14" width="14.5" customWidth="1"/>
    <col min="15" max="15" width="20.1640625" customWidth="1"/>
  </cols>
  <sheetData>
    <row r="3" spans="2:15" ht="16" x14ac:dyDescent="0.2">
      <c r="B3" s="1" t="s">
        <v>0</v>
      </c>
      <c r="C3" s="2" t="s">
        <v>1</v>
      </c>
      <c r="D3" s="2" t="s">
        <v>2</v>
      </c>
      <c r="E3" s="3" t="s">
        <v>3</v>
      </c>
      <c r="F3" s="2" t="s">
        <v>4</v>
      </c>
      <c r="G3" s="3" t="s">
        <v>5</v>
      </c>
      <c r="H3" s="2" t="s">
        <v>6</v>
      </c>
      <c r="I3" s="3" t="s">
        <v>7</v>
      </c>
      <c r="J3" s="17" t="s">
        <v>20</v>
      </c>
      <c r="K3" s="18" t="s">
        <v>21</v>
      </c>
      <c r="L3" s="18" t="s">
        <v>22</v>
      </c>
      <c r="M3" s="18" t="s">
        <v>23</v>
      </c>
      <c r="N3" s="18" t="s">
        <v>24</v>
      </c>
      <c r="O3" s="18" t="s">
        <v>25</v>
      </c>
    </row>
    <row r="4" spans="2:15" ht="16" x14ac:dyDescent="0.2">
      <c r="B4" s="50" t="s">
        <v>8</v>
      </c>
      <c r="C4" s="57" t="s">
        <v>9</v>
      </c>
      <c r="D4" s="4" t="s">
        <v>10</v>
      </c>
      <c r="E4" s="5">
        <v>48</v>
      </c>
      <c r="F4" s="36">
        <v>41</v>
      </c>
      <c r="G4" s="5">
        <v>0</v>
      </c>
      <c r="H4" s="36">
        <v>10.5</v>
      </c>
      <c r="I4" s="6">
        <v>0.5</v>
      </c>
      <c r="J4" s="63">
        <f>ROUND(AVERAGE(E4:E7),1)</f>
        <v>23.4</v>
      </c>
      <c r="K4" s="27">
        <f>ROUND((E4/100)*200,0)</f>
        <v>96</v>
      </c>
      <c r="L4" s="16">
        <f>ROUND((F4/100)*200,0)</f>
        <v>82</v>
      </c>
      <c r="M4" s="27">
        <f>ROUND((G4/100)*200,0)</f>
        <v>0</v>
      </c>
      <c r="N4" s="16">
        <f>ROUND((H4/100)*200,0)</f>
        <v>21</v>
      </c>
      <c r="O4" s="27">
        <f>ROUND((I4/100)*200,0)</f>
        <v>1</v>
      </c>
    </row>
    <row r="5" spans="2:15" ht="16" x14ac:dyDescent="0.2">
      <c r="B5" s="50"/>
      <c r="C5" s="57"/>
      <c r="D5" s="4" t="s">
        <v>11</v>
      </c>
      <c r="E5" s="5">
        <v>33</v>
      </c>
      <c r="F5" s="37">
        <v>57.5</v>
      </c>
      <c r="G5" s="5">
        <v>1</v>
      </c>
      <c r="H5" s="37">
        <v>7.5</v>
      </c>
      <c r="I5" s="6">
        <v>1</v>
      </c>
      <c r="J5" s="63"/>
      <c r="K5" s="28">
        <f t="shared" ref="K5:O23" si="0">ROUND((E5/100)*200,0)</f>
        <v>66</v>
      </c>
      <c r="L5" s="16">
        <f t="shared" si="0"/>
        <v>115</v>
      </c>
      <c r="M5" s="28">
        <f t="shared" si="0"/>
        <v>2</v>
      </c>
      <c r="N5" s="16">
        <f t="shared" si="0"/>
        <v>15</v>
      </c>
      <c r="O5" s="28">
        <f t="shared" si="0"/>
        <v>2</v>
      </c>
    </row>
    <row r="6" spans="2:15" ht="16" x14ac:dyDescent="0.2">
      <c r="B6" s="50"/>
      <c r="C6" s="57"/>
      <c r="D6" s="4" t="s">
        <v>12</v>
      </c>
      <c r="E6" s="5">
        <v>2.5</v>
      </c>
      <c r="F6" s="37">
        <v>90</v>
      </c>
      <c r="G6" s="5">
        <v>6</v>
      </c>
      <c r="H6" s="37">
        <v>1.5</v>
      </c>
      <c r="I6" s="6">
        <v>0</v>
      </c>
      <c r="J6" s="63"/>
      <c r="K6" s="28">
        <f t="shared" si="0"/>
        <v>5</v>
      </c>
      <c r="L6" s="16">
        <f t="shared" si="0"/>
        <v>180</v>
      </c>
      <c r="M6" s="28">
        <f t="shared" si="0"/>
        <v>12</v>
      </c>
      <c r="N6" s="16">
        <f t="shared" si="0"/>
        <v>3</v>
      </c>
      <c r="O6" s="28">
        <f t="shared" si="0"/>
        <v>0</v>
      </c>
    </row>
    <row r="7" spans="2:15" ht="16" x14ac:dyDescent="0.2">
      <c r="B7" s="50"/>
      <c r="C7" s="57"/>
      <c r="D7" s="4" t="s">
        <v>13</v>
      </c>
      <c r="E7" s="7">
        <v>10</v>
      </c>
      <c r="F7" s="38">
        <v>67</v>
      </c>
      <c r="G7" s="7">
        <v>15</v>
      </c>
      <c r="H7" s="38">
        <v>7.5</v>
      </c>
      <c r="I7" s="8">
        <v>0.5</v>
      </c>
      <c r="J7" s="63"/>
      <c r="K7" s="28">
        <f t="shared" si="0"/>
        <v>20</v>
      </c>
      <c r="L7" s="16">
        <f t="shared" si="0"/>
        <v>134</v>
      </c>
      <c r="M7" s="28">
        <f t="shared" si="0"/>
        <v>30</v>
      </c>
      <c r="N7" s="16">
        <f t="shared" si="0"/>
        <v>15</v>
      </c>
      <c r="O7" s="28">
        <f t="shared" si="0"/>
        <v>1</v>
      </c>
    </row>
    <row r="8" spans="2:15" ht="16" x14ac:dyDescent="0.2">
      <c r="B8" s="50"/>
      <c r="C8" s="58" t="s">
        <v>10</v>
      </c>
      <c r="D8" s="4" t="s">
        <v>9</v>
      </c>
      <c r="E8" s="5">
        <v>34</v>
      </c>
      <c r="F8" s="37">
        <v>59.5</v>
      </c>
      <c r="G8" s="5">
        <v>0</v>
      </c>
      <c r="H8" s="37">
        <v>6.5</v>
      </c>
      <c r="I8" s="6">
        <v>0</v>
      </c>
      <c r="J8" s="60">
        <f>ROUND(AVERAGE(E8:E11),1)</f>
        <v>14</v>
      </c>
      <c r="K8" s="27">
        <f t="shared" si="0"/>
        <v>68</v>
      </c>
      <c r="L8" s="35">
        <f t="shared" si="0"/>
        <v>119</v>
      </c>
      <c r="M8" s="27">
        <f t="shared" si="0"/>
        <v>0</v>
      </c>
      <c r="N8" s="35">
        <f t="shared" si="0"/>
        <v>13</v>
      </c>
      <c r="O8" s="27">
        <f t="shared" si="0"/>
        <v>0</v>
      </c>
    </row>
    <row r="9" spans="2:15" ht="16" x14ac:dyDescent="0.2">
      <c r="B9" s="50"/>
      <c r="C9" s="58"/>
      <c r="D9" s="4" t="s">
        <v>11</v>
      </c>
      <c r="E9" s="5">
        <v>13</v>
      </c>
      <c r="F9" s="37">
        <v>79.5</v>
      </c>
      <c r="G9" s="5">
        <v>0.5</v>
      </c>
      <c r="H9" s="37">
        <v>6.5</v>
      </c>
      <c r="I9" s="6">
        <v>0.5</v>
      </c>
      <c r="J9" s="61"/>
      <c r="K9" s="28">
        <f t="shared" si="0"/>
        <v>26</v>
      </c>
      <c r="L9" s="16">
        <f t="shared" si="0"/>
        <v>159</v>
      </c>
      <c r="M9" s="28">
        <f t="shared" si="0"/>
        <v>1</v>
      </c>
      <c r="N9" s="16">
        <f t="shared" si="0"/>
        <v>13</v>
      </c>
      <c r="O9" s="28">
        <f t="shared" si="0"/>
        <v>1</v>
      </c>
    </row>
    <row r="10" spans="2:15" ht="16" x14ac:dyDescent="0.2">
      <c r="B10" s="50"/>
      <c r="C10" s="58"/>
      <c r="D10" s="4" t="s">
        <v>12</v>
      </c>
      <c r="E10" s="5">
        <v>1.5</v>
      </c>
      <c r="F10" s="37">
        <v>80.5</v>
      </c>
      <c r="G10" s="5">
        <v>16</v>
      </c>
      <c r="H10" s="37">
        <v>2</v>
      </c>
      <c r="I10" s="6">
        <v>0</v>
      </c>
      <c r="J10" s="61"/>
      <c r="K10" s="28">
        <f t="shared" si="0"/>
        <v>3</v>
      </c>
      <c r="L10" s="16">
        <f t="shared" si="0"/>
        <v>161</v>
      </c>
      <c r="M10" s="28">
        <f t="shared" si="0"/>
        <v>32</v>
      </c>
      <c r="N10" s="16">
        <f t="shared" si="0"/>
        <v>4</v>
      </c>
      <c r="O10" s="28">
        <f t="shared" si="0"/>
        <v>0</v>
      </c>
    </row>
    <row r="11" spans="2:15" ht="16" x14ac:dyDescent="0.2">
      <c r="B11" s="50"/>
      <c r="C11" s="58"/>
      <c r="D11" s="4" t="s">
        <v>13</v>
      </c>
      <c r="E11" s="5">
        <v>7.5</v>
      </c>
      <c r="F11" s="37">
        <v>59.5</v>
      </c>
      <c r="G11" s="5">
        <v>11</v>
      </c>
      <c r="H11" s="37">
        <v>21.5</v>
      </c>
      <c r="I11" s="6">
        <v>0.5</v>
      </c>
      <c r="J11" s="62"/>
      <c r="K11" s="29">
        <f t="shared" si="0"/>
        <v>15</v>
      </c>
      <c r="L11" s="26">
        <f t="shared" si="0"/>
        <v>119</v>
      </c>
      <c r="M11" s="29">
        <f t="shared" si="0"/>
        <v>22</v>
      </c>
      <c r="N11" s="26">
        <f t="shared" si="0"/>
        <v>43</v>
      </c>
      <c r="O11" s="29">
        <f t="shared" si="0"/>
        <v>1</v>
      </c>
    </row>
    <row r="12" spans="2:15" ht="16" x14ac:dyDescent="0.2">
      <c r="B12" s="50"/>
      <c r="C12" s="59" t="s">
        <v>11</v>
      </c>
      <c r="D12" s="4" t="s">
        <v>10</v>
      </c>
      <c r="E12" s="9">
        <v>33.5</v>
      </c>
      <c r="F12" s="39">
        <v>44</v>
      </c>
      <c r="G12" s="9">
        <v>1</v>
      </c>
      <c r="H12" s="39">
        <v>21</v>
      </c>
      <c r="I12" s="10">
        <v>0.5</v>
      </c>
      <c r="J12" s="64">
        <f>ROUND(AVERAGE(E12:E15),1)</f>
        <v>14.3</v>
      </c>
      <c r="K12" s="28">
        <f t="shared" si="0"/>
        <v>67</v>
      </c>
      <c r="L12" s="16">
        <f t="shared" si="0"/>
        <v>88</v>
      </c>
      <c r="M12" s="28">
        <f t="shared" si="0"/>
        <v>2</v>
      </c>
      <c r="N12" s="16">
        <f t="shared" si="0"/>
        <v>42</v>
      </c>
      <c r="O12" s="28">
        <f t="shared" si="0"/>
        <v>1</v>
      </c>
    </row>
    <row r="13" spans="2:15" ht="16" x14ac:dyDescent="0.2">
      <c r="B13" s="50"/>
      <c r="C13" s="59"/>
      <c r="D13" s="4" t="s">
        <v>9</v>
      </c>
      <c r="E13" s="5">
        <v>15</v>
      </c>
      <c r="F13" s="37">
        <v>75</v>
      </c>
      <c r="G13" s="5">
        <v>0</v>
      </c>
      <c r="H13" s="37">
        <v>10</v>
      </c>
      <c r="I13" s="6">
        <v>0</v>
      </c>
      <c r="J13" s="64"/>
      <c r="K13" s="28">
        <f t="shared" si="0"/>
        <v>30</v>
      </c>
      <c r="L13" s="16">
        <f t="shared" si="0"/>
        <v>150</v>
      </c>
      <c r="M13" s="28">
        <f t="shared" si="0"/>
        <v>0</v>
      </c>
      <c r="N13" s="16">
        <f t="shared" si="0"/>
        <v>20</v>
      </c>
      <c r="O13" s="28">
        <f t="shared" si="0"/>
        <v>0</v>
      </c>
    </row>
    <row r="14" spans="2:15" ht="16" x14ac:dyDescent="0.2">
      <c r="B14" s="50"/>
      <c r="C14" s="59"/>
      <c r="D14" s="4" t="s">
        <v>12</v>
      </c>
      <c r="E14" s="5">
        <v>0</v>
      </c>
      <c r="F14" s="37">
        <v>95.5</v>
      </c>
      <c r="G14" s="5">
        <v>3</v>
      </c>
      <c r="H14" s="37">
        <v>1</v>
      </c>
      <c r="I14" s="6">
        <v>0.5</v>
      </c>
      <c r="J14" s="64"/>
      <c r="K14" s="28">
        <f t="shared" si="0"/>
        <v>0</v>
      </c>
      <c r="L14" s="16">
        <f t="shared" si="0"/>
        <v>191</v>
      </c>
      <c r="M14" s="28">
        <f t="shared" si="0"/>
        <v>6</v>
      </c>
      <c r="N14" s="16">
        <f t="shared" si="0"/>
        <v>2</v>
      </c>
      <c r="O14" s="28">
        <f t="shared" si="0"/>
        <v>1</v>
      </c>
    </row>
    <row r="15" spans="2:15" ht="16" x14ac:dyDescent="0.2">
      <c r="B15" s="50"/>
      <c r="C15" s="59"/>
      <c r="D15" s="4" t="s">
        <v>13</v>
      </c>
      <c r="E15" s="7">
        <v>8.5</v>
      </c>
      <c r="F15" s="38">
        <v>61</v>
      </c>
      <c r="G15" s="7">
        <v>20.5</v>
      </c>
      <c r="H15" s="38">
        <v>10</v>
      </c>
      <c r="I15" s="8">
        <v>0</v>
      </c>
      <c r="J15" s="64"/>
      <c r="K15" s="28">
        <f t="shared" si="0"/>
        <v>17</v>
      </c>
      <c r="L15" s="16">
        <f t="shared" si="0"/>
        <v>122</v>
      </c>
      <c r="M15" s="28">
        <f t="shared" si="0"/>
        <v>41</v>
      </c>
      <c r="N15" s="16">
        <f t="shared" si="0"/>
        <v>20</v>
      </c>
      <c r="O15" s="28">
        <f t="shared" si="0"/>
        <v>0</v>
      </c>
    </row>
    <row r="16" spans="2:15" ht="16" x14ac:dyDescent="0.2">
      <c r="B16" s="50"/>
      <c r="C16" s="52" t="s">
        <v>12</v>
      </c>
      <c r="D16" s="4" t="s">
        <v>10</v>
      </c>
      <c r="E16" s="5">
        <v>38</v>
      </c>
      <c r="F16" s="37">
        <v>39.5</v>
      </c>
      <c r="G16" s="5">
        <v>0</v>
      </c>
      <c r="H16" s="37">
        <v>22.5</v>
      </c>
      <c r="I16" s="6">
        <v>0</v>
      </c>
      <c r="J16" s="60">
        <f>ROUND(AVERAGE(E16:E19),1)</f>
        <v>21.3</v>
      </c>
      <c r="K16" s="27">
        <f t="shared" si="0"/>
        <v>76</v>
      </c>
      <c r="L16" s="35">
        <f t="shared" si="0"/>
        <v>79</v>
      </c>
      <c r="M16" s="27">
        <f t="shared" si="0"/>
        <v>0</v>
      </c>
      <c r="N16" s="35">
        <f t="shared" si="0"/>
        <v>45</v>
      </c>
      <c r="O16" s="27">
        <f t="shared" si="0"/>
        <v>0</v>
      </c>
    </row>
    <row r="17" spans="2:15" ht="16" x14ac:dyDescent="0.2">
      <c r="B17" s="50"/>
      <c r="C17" s="52"/>
      <c r="D17" s="4" t="s">
        <v>11</v>
      </c>
      <c r="E17" s="5">
        <v>12</v>
      </c>
      <c r="F17" s="37">
        <v>82.5</v>
      </c>
      <c r="G17" s="5">
        <v>0.5</v>
      </c>
      <c r="H17" s="37">
        <v>4.5</v>
      </c>
      <c r="I17" s="6">
        <v>0.5</v>
      </c>
      <c r="J17" s="61"/>
      <c r="K17" s="28">
        <f t="shared" si="0"/>
        <v>24</v>
      </c>
      <c r="L17" s="16">
        <f t="shared" si="0"/>
        <v>165</v>
      </c>
      <c r="M17" s="28">
        <f t="shared" si="0"/>
        <v>1</v>
      </c>
      <c r="N17" s="16">
        <f t="shared" si="0"/>
        <v>9</v>
      </c>
      <c r="O17" s="28">
        <f t="shared" si="0"/>
        <v>1</v>
      </c>
    </row>
    <row r="18" spans="2:15" ht="16" x14ac:dyDescent="0.2">
      <c r="B18" s="50"/>
      <c r="C18" s="52"/>
      <c r="D18" s="4" t="s">
        <v>9</v>
      </c>
      <c r="E18" s="5">
        <v>28.5</v>
      </c>
      <c r="F18" s="37">
        <v>42</v>
      </c>
      <c r="G18" s="5">
        <v>0</v>
      </c>
      <c r="H18" s="37">
        <v>30</v>
      </c>
      <c r="I18" s="6">
        <v>0.5</v>
      </c>
      <c r="J18" s="61"/>
      <c r="K18" s="28">
        <f t="shared" si="0"/>
        <v>57</v>
      </c>
      <c r="L18" s="16">
        <f t="shared" si="0"/>
        <v>84</v>
      </c>
      <c r="M18" s="28">
        <f t="shared" si="0"/>
        <v>0</v>
      </c>
      <c r="N18" s="16">
        <f t="shared" si="0"/>
        <v>60</v>
      </c>
      <c r="O18" s="28">
        <f t="shared" si="0"/>
        <v>1</v>
      </c>
    </row>
    <row r="19" spans="2:15" ht="16" x14ac:dyDescent="0.2">
      <c r="B19" s="50"/>
      <c r="C19" s="52"/>
      <c r="D19" s="4" t="s">
        <v>13</v>
      </c>
      <c r="E19" s="5">
        <v>6.5</v>
      </c>
      <c r="F19" s="37">
        <v>55.5</v>
      </c>
      <c r="G19" s="5">
        <v>29</v>
      </c>
      <c r="H19" s="37">
        <v>9</v>
      </c>
      <c r="I19" s="6">
        <v>0</v>
      </c>
      <c r="J19" s="62"/>
      <c r="K19" s="29">
        <f t="shared" si="0"/>
        <v>13</v>
      </c>
      <c r="L19" s="26">
        <f t="shared" si="0"/>
        <v>111</v>
      </c>
      <c r="M19" s="29">
        <f t="shared" si="0"/>
        <v>58</v>
      </c>
      <c r="N19" s="26">
        <f t="shared" si="0"/>
        <v>18</v>
      </c>
      <c r="O19" s="29">
        <f t="shared" si="0"/>
        <v>0</v>
      </c>
    </row>
    <row r="20" spans="2:15" ht="16" x14ac:dyDescent="0.2">
      <c r="B20" s="50"/>
      <c r="C20" s="53" t="s">
        <v>13</v>
      </c>
      <c r="D20" s="4" t="s">
        <v>10</v>
      </c>
      <c r="E20" s="9">
        <v>39</v>
      </c>
      <c r="F20" s="39">
        <v>39</v>
      </c>
      <c r="G20" s="9">
        <v>0</v>
      </c>
      <c r="H20" s="39">
        <v>22</v>
      </c>
      <c r="I20" s="10">
        <v>0</v>
      </c>
      <c r="J20" s="63">
        <f>ROUND(AVERAGE(E20:E23),1)</f>
        <v>17.5</v>
      </c>
      <c r="K20" s="28">
        <f t="shared" si="0"/>
        <v>78</v>
      </c>
      <c r="L20" s="16">
        <f t="shared" si="0"/>
        <v>78</v>
      </c>
      <c r="M20" s="28">
        <f t="shared" si="0"/>
        <v>0</v>
      </c>
      <c r="N20" s="16">
        <f t="shared" si="0"/>
        <v>44</v>
      </c>
      <c r="O20" s="28">
        <f t="shared" si="0"/>
        <v>0</v>
      </c>
    </row>
    <row r="21" spans="2:15" ht="16" x14ac:dyDescent="0.2">
      <c r="B21" s="50"/>
      <c r="C21" s="53"/>
      <c r="D21" s="4" t="s">
        <v>11</v>
      </c>
      <c r="E21" s="5">
        <v>1.5</v>
      </c>
      <c r="F21" s="37">
        <v>98.5</v>
      </c>
      <c r="G21" s="5">
        <v>0</v>
      </c>
      <c r="H21" s="37">
        <v>0</v>
      </c>
      <c r="I21" s="6">
        <v>0</v>
      </c>
      <c r="J21" s="63"/>
      <c r="K21" s="28">
        <f t="shared" si="0"/>
        <v>3</v>
      </c>
      <c r="L21" s="16">
        <f t="shared" si="0"/>
        <v>197</v>
      </c>
      <c r="M21" s="28">
        <f t="shared" si="0"/>
        <v>0</v>
      </c>
      <c r="N21" s="16">
        <f t="shared" si="0"/>
        <v>0</v>
      </c>
      <c r="O21" s="28">
        <f t="shared" si="0"/>
        <v>0</v>
      </c>
    </row>
    <row r="22" spans="2:15" ht="16" x14ac:dyDescent="0.2">
      <c r="B22" s="50"/>
      <c r="C22" s="53"/>
      <c r="D22" s="4" t="s">
        <v>12</v>
      </c>
      <c r="E22" s="5">
        <v>0</v>
      </c>
      <c r="F22" s="37">
        <v>67</v>
      </c>
      <c r="G22" s="5">
        <v>32</v>
      </c>
      <c r="H22" s="37">
        <v>1</v>
      </c>
      <c r="I22" s="6">
        <v>0</v>
      </c>
      <c r="J22" s="63"/>
      <c r="K22" s="28">
        <f t="shared" si="0"/>
        <v>0</v>
      </c>
      <c r="L22" s="16">
        <f t="shared" si="0"/>
        <v>134</v>
      </c>
      <c r="M22" s="28">
        <f t="shared" si="0"/>
        <v>64</v>
      </c>
      <c r="N22" s="16">
        <f t="shared" si="0"/>
        <v>2</v>
      </c>
      <c r="O22" s="28">
        <f t="shared" si="0"/>
        <v>0</v>
      </c>
    </row>
    <row r="23" spans="2:15" ht="16" x14ac:dyDescent="0.2">
      <c r="B23" s="50"/>
      <c r="C23" s="53"/>
      <c r="D23" s="4" t="s">
        <v>9</v>
      </c>
      <c r="E23" s="5">
        <v>29.5</v>
      </c>
      <c r="F23" s="37">
        <v>47</v>
      </c>
      <c r="G23" s="5">
        <v>0</v>
      </c>
      <c r="H23" s="37">
        <v>22</v>
      </c>
      <c r="I23" s="6">
        <v>1.5</v>
      </c>
      <c r="J23" s="63"/>
      <c r="K23" s="28">
        <f t="shared" si="0"/>
        <v>59</v>
      </c>
      <c r="L23" s="16">
        <f t="shared" si="0"/>
        <v>94</v>
      </c>
      <c r="M23" s="28">
        <f t="shared" si="0"/>
        <v>0</v>
      </c>
      <c r="N23" s="16">
        <f t="shared" si="0"/>
        <v>44</v>
      </c>
      <c r="O23" s="28">
        <f t="shared" si="0"/>
        <v>3</v>
      </c>
    </row>
    <row r="24" spans="2:15" ht="16" x14ac:dyDescent="0.2">
      <c r="B24" s="50" t="s">
        <v>14</v>
      </c>
      <c r="C24" s="52" t="s">
        <v>12</v>
      </c>
      <c r="D24" s="4" t="s">
        <v>10</v>
      </c>
      <c r="E24" s="9">
        <v>15.75</v>
      </c>
      <c r="F24" s="39">
        <v>46.46</v>
      </c>
      <c r="G24" s="9">
        <v>0</v>
      </c>
      <c r="H24" s="39">
        <v>31.89</v>
      </c>
      <c r="I24" s="10">
        <v>5.9</v>
      </c>
      <c r="J24" s="60">
        <f>ROUND(AVERAGE(E24:E27),1)</f>
        <v>8.1</v>
      </c>
      <c r="K24" s="43">
        <f>ROUND((E24/100)*249,0)</f>
        <v>39</v>
      </c>
      <c r="L24" s="27">
        <f>ROUND((F24/100)*249,0)</f>
        <v>116</v>
      </c>
      <c r="M24" s="35">
        <f>ROUND((G24/100)*249,0)</f>
        <v>0</v>
      </c>
      <c r="N24" s="27">
        <f>ROUND((H24/100)*249,0)</f>
        <v>79</v>
      </c>
      <c r="O24" s="46">
        <f>ROUND((I24/100)*249,0)</f>
        <v>15</v>
      </c>
    </row>
    <row r="25" spans="2:15" ht="16" x14ac:dyDescent="0.2">
      <c r="B25" s="50"/>
      <c r="C25" s="52"/>
      <c r="D25" s="4" t="s">
        <v>11</v>
      </c>
      <c r="E25" s="5">
        <v>1.2</v>
      </c>
      <c r="F25" s="37">
        <v>92.4</v>
      </c>
      <c r="G25" s="5">
        <v>0.8</v>
      </c>
      <c r="H25" s="37">
        <v>5.2</v>
      </c>
      <c r="I25" s="6">
        <v>0.4</v>
      </c>
      <c r="J25" s="61"/>
      <c r="K25" s="41">
        <f t="shared" ref="K25:O27" si="1">ROUND((E25/100)*249,0)</f>
        <v>3</v>
      </c>
      <c r="L25" s="28">
        <f t="shared" si="1"/>
        <v>230</v>
      </c>
      <c r="M25" s="16">
        <f t="shared" si="1"/>
        <v>2</v>
      </c>
      <c r="N25" s="28">
        <f t="shared" si="1"/>
        <v>13</v>
      </c>
      <c r="O25" s="42">
        <f t="shared" si="1"/>
        <v>1</v>
      </c>
    </row>
    <row r="26" spans="2:15" ht="16" x14ac:dyDescent="0.2">
      <c r="B26" s="50"/>
      <c r="C26" s="52"/>
      <c r="D26" s="4" t="s">
        <v>9</v>
      </c>
      <c r="E26" s="5">
        <v>15.08</v>
      </c>
      <c r="F26" s="37">
        <v>50</v>
      </c>
      <c r="G26" s="5">
        <v>0</v>
      </c>
      <c r="H26" s="37">
        <v>33.299999999999997</v>
      </c>
      <c r="I26" s="6">
        <v>1.59</v>
      </c>
      <c r="J26" s="61"/>
      <c r="K26" s="41">
        <f t="shared" si="1"/>
        <v>38</v>
      </c>
      <c r="L26" s="28">
        <f t="shared" si="1"/>
        <v>125</v>
      </c>
      <c r="M26" s="16">
        <f t="shared" si="1"/>
        <v>0</v>
      </c>
      <c r="N26" s="28">
        <f t="shared" si="1"/>
        <v>83</v>
      </c>
      <c r="O26" s="42">
        <f t="shared" si="1"/>
        <v>4</v>
      </c>
    </row>
    <row r="27" spans="2:15" ht="16" x14ac:dyDescent="0.2">
      <c r="B27" s="50"/>
      <c r="C27" s="52"/>
      <c r="D27" s="4" t="s">
        <v>13</v>
      </c>
      <c r="E27" s="5">
        <v>0.4</v>
      </c>
      <c r="F27" s="37">
        <v>56.63</v>
      </c>
      <c r="G27" s="5">
        <v>19.68</v>
      </c>
      <c r="H27" s="37">
        <v>22.89</v>
      </c>
      <c r="I27" s="6">
        <v>0.4</v>
      </c>
      <c r="J27" s="62"/>
      <c r="K27" s="44">
        <f t="shared" si="1"/>
        <v>1</v>
      </c>
      <c r="L27" s="29">
        <f t="shared" si="1"/>
        <v>141</v>
      </c>
      <c r="M27" s="26">
        <f t="shared" si="1"/>
        <v>49</v>
      </c>
      <c r="N27" s="29">
        <f t="shared" si="1"/>
        <v>57</v>
      </c>
      <c r="O27" s="45">
        <f t="shared" si="1"/>
        <v>1</v>
      </c>
    </row>
    <row r="28" spans="2:15" ht="16" x14ac:dyDescent="0.2">
      <c r="B28" s="50"/>
      <c r="C28" s="53" t="s">
        <v>13</v>
      </c>
      <c r="D28" s="4" t="s">
        <v>10</v>
      </c>
      <c r="E28" s="9">
        <v>9.23</v>
      </c>
      <c r="F28" s="39">
        <v>51.92</v>
      </c>
      <c r="G28" s="9">
        <v>0</v>
      </c>
      <c r="H28" s="39">
        <v>35.840000000000003</v>
      </c>
      <c r="I28" s="10">
        <v>3.46</v>
      </c>
      <c r="J28" s="63">
        <f>ROUND(AVERAGE(E28:E31),1)</f>
        <v>3.8</v>
      </c>
      <c r="K28" s="41">
        <f t="shared" ref="K28:O31" si="2">ROUND((E28/100)*250,0)</f>
        <v>23</v>
      </c>
      <c r="L28" s="41">
        <f t="shared" si="2"/>
        <v>130</v>
      </c>
      <c r="M28" s="41">
        <f t="shared" si="2"/>
        <v>0</v>
      </c>
      <c r="N28" s="28">
        <f t="shared" si="2"/>
        <v>90</v>
      </c>
      <c r="O28" s="28">
        <f t="shared" si="2"/>
        <v>9</v>
      </c>
    </row>
    <row r="29" spans="2:15" ht="16" x14ac:dyDescent="0.2">
      <c r="B29" s="50"/>
      <c r="C29" s="53"/>
      <c r="D29" s="4" t="s">
        <v>11</v>
      </c>
      <c r="E29" s="5">
        <v>0</v>
      </c>
      <c r="F29" s="37">
        <v>0</v>
      </c>
      <c r="G29" s="5">
        <v>98</v>
      </c>
      <c r="H29" s="37">
        <v>2</v>
      </c>
      <c r="I29" s="6">
        <v>0</v>
      </c>
      <c r="J29" s="63"/>
      <c r="K29" s="41">
        <f t="shared" si="2"/>
        <v>0</v>
      </c>
      <c r="L29" s="41">
        <f t="shared" si="2"/>
        <v>0</v>
      </c>
      <c r="M29" s="41">
        <f t="shared" si="2"/>
        <v>245</v>
      </c>
      <c r="N29" s="28">
        <f t="shared" si="2"/>
        <v>5</v>
      </c>
      <c r="O29" s="28">
        <f t="shared" si="2"/>
        <v>0</v>
      </c>
    </row>
    <row r="30" spans="2:15" ht="16" x14ac:dyDescent="0.2">
      <c r="B30" s="50"/>
      <c r="C30" s="53"/>
      <c r="D30" s="4" t="s">
        <v>12</v>
      </c>
      <c r="E30" s="5">
        <v>0.4</v>
      </c>
      <c r="F30" s="37">
        <v>64</v>
      </c>
      <c r="G30" s="5">
        <v>33.200000000000003</v>
      </c>
      <c r="H30" s="37">
        <v>2.4</v>
      </c>
      <c r="I30" s="6">
        <v>0</v>
      </c>
      <c r="J30" s="63"/>
      <c r="K30" s="41">
        <f t="shared" si="2"/>
        <v>1</v>
      </c>
      <c r="L30" s="41">
        <f t="shared" si="2"/>
        <v>160</v>
      </c>
      <c r="M30" s="41">
        <f t="shared" si="2"/>
        <v>83</v>
      </c>
      <c r="N30" s="28">
        <f t="shared" si="2"/>
        <v>6</v>
      </c>
      <c r="O30" s="28">
        <f t="shared" si="2"/>
        <v>0</v>
      </c>
    </row>
    <row r="31" spans="2:15" ht="16" x14ac:dyDescent="0.2">
      <c r="B31" s="51"/>
      <c r="C31" s="54"/>
      <c r="D31" s="12" t="s">
        <v>9</v>
      </c>
      <c r="E31" s="5">
        <v>5.55</v>
      </c>
      <c r="F31" s="49">
        <v>71.819999999999993</v>
      </c>
      <c r="G31" s="5">
        <v>0</v>
      </c>
      <c r="H31" s="49">
        <v>21.43</v>
      </c>
      <c r="I31" s="6">
        <v>1.19</v>
      </c>
      <c r="J31" s="63"/>
      <c r="K31" s="28">
        <f t="shared" si="2"/>
        <v>14</v>
      </c>
      <c r="L31" s="16">
        <f t="shared" si="2"/>
        <v>180</v>
      </c>
      <c r="M31" s="28">
        <f t="shared" si="2"/>
        <v>0</v>
      </c>
      <c r="N31" s="16">
        <f t="shared" si="2"/>
        <v>54</v>
      </c>
      <c r="O31" s="28">
        <f t="shared" si="2"/>
        <v>3</v>
      </c>
    </row>
    <row r="32" spans="2:15" ht="16" x14ac:dyDescent="0.2">
      <c r="B32" s="13" t="s">
        <v>15</v>
      </c>
      <c r="C32" s="11" t="s">
        <v>13</v>
      </c>
      <c r="D32" s="4" t="s">
        <v>12</v>
      </c>
      <c r="E32" s="4">
        <v>16.47</v>
      </c>
      <c r="F32" s="48">
        <v>42.68</v>
      </c>
      <c r="G32" s="4">
        <v>6.09</v>
      </c>
      <c r="H32" s="48">
        <v>34.75</v>
      </c>
      <c r="I32" s="4">
        <v>0</v>
      </c>
      <c r="J32" s="33">
        <f>ROUND(E32,1)</f>
        <v>16.5</v>
      </c>
      <c r="K32" s="34">
        <f>ROUND((E32/100)*164,0)</f>
        <v>27</v>
      </c>
      <c r="L32" s="31">
        <f>ROUND((F32/100)*164,0)</f>
        <v>70</v>
      </c>
      <c r="M32" s="34">
        <f>ROUND((G32/100)*164,0)</f>
        <v>10</v>
      </c>
      <c r="N32" s="31">
        <f>ROUND((H32/100)*164,0)</f>
        <v>57</v>
      </c>
      <c r="O32" s="34">
        <f>ROUND((I32/100)*164,0)</f>
        <v>0</v>
      </c>
    </row>
    <row r="33" spans="2:15" ht="16" x14ac:dyDescent="0.2">
      <c r="B33" s="18" t="s">
        <v>26</v>
      </c>
      <c r="C33" s="25" t="s">
        <v>16</v>
      </c>
      <c r="D33" s="14" t="s">
        <v>13</v>
      </c>
      <c r="E33" s="15">
        <v>0</v>
      </c>
      <c r="F33" s="37">
        <v>100</v>
      </c>
      <c r="G33" s="5">
        <v>0</v>
      </c>
      <c r="H33" s="37">
        <v>0</v>
      </c>
      <c r="I33" s="6">
        <v>0</v>
      </c>
      <c r="J33" s="16">
        <f>ROUND(E33,1)</f>
        <v>0</v>
      </c>
      <c r="K33" s="28">
        <f>ROUND((E33/100)*22,0)</f>
        <v>0</v>
      </c>
      <c r="L33" s="16">
        <f>ROUND((F33/100)*22,0)</f>
        <v>22</v>
      </c>
      <c r="M33" s="28">
        <f>ROUND((G33/100)*22,0)</f>
        <v>0</v>
      </c>
      <c r="N33" s="16">
        <f>ROUND((H33/100)*22,0)</f>
        <v>0</v>
      </c>
      <c r="O33" s="28">
        <f>ROUND((I33/100)*22,0)</f>
        <v>0</v>
      </c>
    </row>
    <row r="34" spans="2:15" ht="16" x14ac:dyDescent="0.2">
      <c r="B34" s="30" t="s">
        <v>17</v>
      </c>
      <c r="C34" s="47" t="s">
        <v>13</v>
      </c>
      <c r="D34" s="40" t="s">
        <v>12</v>
      </c>
      <c r="E34" s="5">
        <v>0</v>
      </c>
      <c r="F34" s="37">
        <v>100</v>
      </c>
      <c r="G34" s="5">
        <v>0</v>
      </c>
      <c r="H34" s="37">
        <v>0</v>
      </c>
      <c r="I34" s="6">
        <v>0</v>
      </c>
      <c r="J34" s="16">
        <f>ROUND(E34,1)</f>
        <v>0</v>
      </c>
      <c r="K34" s="28">
        <f>ROUND((E34/100)*15,0)</f>
        <v>0</v>
      </c>
      <c r="L34" s="16">
        <f>ROUND((F34/100)*15,0)</f>
        <v>15</v>
      </c>
      <c r="M34" s="28">
        <f>ROUND((G34/100)*15,0)</f>
        <v>0</v>
      </c>
      <c r="N34" s="16">
        <f>ROUND((H34/100)*15,0)</f>
        <v>0</v>
      </c>
      <c r="O34" s="28">
        <f>ROUND((I34/100)*15,0)</f>
        <v>0</v>
      </c>
    </row>
    <row r="35" spans="2:15" x14ac:dyDescent="0.2">
      <c r="B35" s="55" t="s">
        <v>18</v>
      </c>
      <c r="C35" s="56"/>
      <c r="D35" s="56"/>
      <c r="E35" s="34">
        <f>AVERAGE(AVERAGE(E4:E23),AVERAGE(E24:E31),E32,E33,E34)</f>
        <v>8.0992499999999996</v>
      </c>
      <c r="F35" s="34">
        <f t="shared" ref="F35:I35" si="3">AVERAGE(AVERAGE(F4:F23),AVERAGE(F24:F31),F32,F33,F34)</f>
        <v>72.176749999999998</v>
      </c>
      <c r="G35" s="31">
        <f t="shared" si="3"/>
        <v>6.3650000000000002</v>
      </c>
      <c r="H35" s="34">
        <f t="shared" si="3"/>
        <v>12.98875</v>
      </c>
      <c r="I35" s="31">
        <f t="shared" si="3"/>
        <v>0.38849999999999996</v>
      </c>
      <c r="J35" s="34">
        <f>ROUND(AVERAGE(AVERAGE(J4:J23),AVERAGE(J24:J31),J32,J33,J34),1)</f>
        <v>8.1</v>
      </c>
      <c r="K35" s="34">
        <f>ROUND(AVERAGE(K4:K34),0)</f>
        <v>28</v>
      </c>
      <c r="L35" s="34">
        <f t="shared" ref="L35:O35" si="4">ROUND(AVERAGE(L4:L34),0)</f>
        <v>121</v>
      </c>
      <c r="M35" s="34">
        <f t="shared" si="4"/>
        <v>21</v>
      </c>
      <c r="N35" s="34">
        <f t="shared" si="4"/>
        <v>28</v>
      </c>
      <c r="O35" s="34">
        <f t="shared" si="4"/>
        <v>1</v>
      </c>
    </row>
  </sheetData>
  <mergeCells count="17">
    <mergeCell ref="B24:B31"/>
    <mergeCell ref="C24:C27"/>
    <mergeCell ref="C28:C31"/>
    <mergeCell ref="B35:D35"/>
    <mergeCell ref="B4:B23"/>
    <mergeCell ref="C4:C7"/>
    <mergeCell ref="C8:C11"/>
    <mergeCell ref="C12:C15"/>
    <mergeCell ref="C16:C19"/>
    <mergeCell ref="C20:C23"/>
    <mergeCell ref="J24:J27"/>
    <mergeCell ref="J28:J31"/>
    <mergeCell ref="J4:J7"/>
    <mergeCell ref="J8:J11"/>
    <mergeCell ref="J12:J15"/>
    <mergeCell ref="J16:J19"/>
    <mergeCell ref="J20:J23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D8A7-35FA-A044-879E-77805832D864}">
  <dimension ref="B3:O35"/>
  <sheetViews>
    <sheetView workbookViewId="0">
      <selection activeCell="E38" sqref="E38"/>
    </sheetView>
  </sheetViews>
  <sheetFormatPr baseColWidth="10" defaultColWidth="8.83203125" defaultRowHeight="15" x14ac:dyDescent="0.2"/>
  <cols>
    <col min="1" max="1" width="8.83203125" style="16"/>
    <col min="2" max="2" width="11.5" style="16" customWidth="1"/>
    <col min="3" max="3" width="15" style="16" customWidth="1"/>
    <col min="4" max="4" width="12.5" style="16" customWidth="1"/>
    <col min="5" max="5" width="18.6640625" style="16" customWidth="1"/>
    <col min="6" max="6" width="26.33203125" style="16" customWidth="1"/>
    <col min="7" max="7" width="24.1640625" style="16" customWidth="1"/>
    <col min="8" max="8" width="22.83203125" style="16" customWidth="1"/>
    <col min="9" max="9" width="21.5" style="16" customWidth="1"/>
    <col min="10" max="10" width="16.6640625" style="16" customWidth="1"/>
    <col min="11" max="11" width="13.6640625" style="16" customWidth="1"/>
    <col min="12" max="12" width="15.83203125" style="16" customWidth="1"/>
    <col min="13" max="13" width="14.1640625" style="16" customWidth="1"/>
    <col min="14" max="14" width="13.6640625" style="16" customWidth="1"/>
    <col min="15" max="15" width="18.6640625" style="16" customWidth="1"/>
    <col min="16" max="16384" width="8.83203125" style="16"/>
  </cols>
  <sheetData>
    <row r="3" spans="2:15" ht="16" x14ac:dyDescent="0.2">
      <c r="B3" s="1" t="s">
        <v>0</v>
      </c>
      <c r="C3" s="2" t="s">
        <v>1</v>
      </c>
      <c r="D3" s="2" t="s">
        <v>2</v>
      </c>
      <c r="E3" s="3" t="s">
        <v>3</v>
      </c>
      <c r="F3" s="2" t="s">
        <v>4</v>
      </c>
      <c r="G3" s="3" t="s">
        <v>5</v>
      </c>
      <c r="H3" s="2" t="s">
        <v>6</v>
      </c>
      <c r="I3" s="1" t="s">
        <v>7</v>
      </c>
      <c r="J3" s="17" t="s">
        <v>20</v>
      </c>
      <c r="K3" s="18" t="s">
        <v>21</v>
      </c>
      <c r="L3" s="18" t="s">
        <v>22</v>
      </c>
      <c r="M3" s="18" t="s">
        <v>23</v>
      </c>
      <c r="N3" s="18" t="s">
        <v>24</v>
      </c>
      <c r="O3" s="18" t="s">
        <v>25</v>
      </c>
    </row>
    <row r="4" spans="2:15" ht="16" x14ac:dyDescent="0.2">
      <c r="B4" s="50" t="s">
        <v>8</v>
      </c>
      <c r="C4" s="57" t="s">
        <v>9</v>
      </c>
      <c r="D4" s="4" t="s">
        <v>10</v>
      </c>
      <c r="E4" s="5">
        <v>50</v>
      </c>
      <c r="F4" s="36">
        <v>32.5</v>
      </c>
      <c r="G4" s="5">
        <v>0</v>
      </c>
      <c r="H4" s="36">
        <v>17.5</v>
      </c>
      <c r="I4" s="6">
        <v>0</v>
      </c>
      <c r="J4" s="63">
        <f>ROUND(AVERAGE(E4:E7),1)</f>
        <v>14.9</v>
      </c>
      <c r="K4" s="27">
        <f>ROUND((E4/100)*200,0)</f>
        <v>100</v>
      </c>
      <c r="L4" s="16">
        <f>ROUND((F4/100)*200,0)</f>
        <v>65</v>
      </c>
      <c r="M4" s="27">
        <f>ROUND((G4/100)*200,0)</f>
        <v>0</v>
      </c>
      <c r="N4" s="16">
        <f>ROUND((H4/100)*200,0)</f>
        <v>35</v>
      </c>
      <c r="O4" s="27">
        <f>ROUND((I4/100)*200,0)</f>
        <v>0</v>
      </c>
    </row>
    <row r="5" spans="2:15" ht="16" x14ac:dyDescent="0.2">
      <c r="B5" s="50"/>
      <c r="C5" s="57"/>
      <c r="D5" s="4" t="s">
        <v>11</v>
      </c>
      <c r="E5" s="5">
        <v>0</v>
      </c>
      <c r="F5" s="37">
        <v>99.5</v>
      </c>
      <c r="G5" s="5">
        <v>0</v>
      </c>
      <c r="H5" s="37">
        <v>0.5</v>
      </c>
      <c r="I5" s="6">
        <v>0</v>
      </c>
      <c r="J5" s="63"/>
      <c r="K5" s="28">
        <f t="shared" ref="K5:K23" si="0">ROUND((E5/100)*200,0)</f>
        <v>0</v>
      </c>
      <c r="L5" s="16">
        <f t="shared" ref="L5:L23" si="1">ROUND((F5/100)*200,0)</f>
        <v>199</v>
      </c>
      <c r="M5" s="28">
        <f t="shared" ref="M5:M23" si="2">ROUND((G5/100)*200,0)</f>
        <v>0</v>
      </c>
      <c r="N5" s="16">
        <f t="shared" ref="N5:N23" si="3">ROUND((H5/100)*200,0)</f>
        <v>1</v>
      </c>
      <c r="O5" s="28">
        <f t="shared" ref="O5:O23" si="4">ROUND((I5/100)*200,0)</f>
        <v>0</v>
      </c>
    </row>
    <row r="6" spans="2:15" ht="16" x14ac:dyDescent="0.2">
      <c r="B6" s="50"/>
      <c r="C6" s="57"/>
      <c r="D6" s="4" t="s">
        <v>12</v>
      </c>
      <c r="E6" s="5">
        <v>9</v>
      </c>
      <c r="F6" s="37">
        <v>55.5</v>
      </c>
      <c r="G6" s="5">
        <v>24.5</v>
      </c>
      <c r="H6" s="37">
        <v>11</v>
      </c>
      <c r="I6" s="6">
        <v>0</v>
      </c>
      <c r="J6" s="63"/>
      <c r="K6" s="28">
        <f t="shared" si="0"/>
        <v>18</v>
      </c>
      <c r="L6" s="16">
        <f t="shared" si="1"/>
        <v>111</v>
      </c>
      <c r="M6" s="28">
        <f t="shared" si="2"/>
        <v>49</v>
      </c>
      <c r="N6" s="16">
        <f t="shared" si="3"/>
        <v>22</v>
      </c>
      <c r="O6" s="28">
        <f t="shared" si="4"/>
        <v>0</v>
      </c>
    </row>
    <row r="7" spans="2:15" ht="16" x14ac:dyDescent="0.2">
      <c r="B7" s="50"/>
      <c r="C7" s="57"/>
      <c r="D7" s="4" t="s">
        <v>13</v>
      </c>
      <c r="E7" s="7">
        <v>0.5</v>
      </c>
      <c r="F7" s="38">
        <v>80.5</v>
      </c>
      <c r="G7" s="7">
        <v>4</v>
      </c>
      <c r="H7" s="38">
        <v>15</v>
      </c>
      <c r="I7" s="8">
        <v>0</v>
      </c>
      <c r="J7" s="63"/>
      <c r="K7" s="28">
        <f t="shared" si="0"/>
        <v>1</v>
      </c>
      <c r="L7" s="16">
        <f t="shared" si="1"/>
        <v>161</v>
      </c>
      <c r="M7" s="28">
        <f t="shared" si="2"/>
        <v>8</v>
      </c>
      <c r="N7" s="16">
        <f t="shared" si="3"/>
        <v>30</v>
      </c>
      <c r="O7" s="28">
        <f t="shared" si="4"/>
        <v>0</v>
      </c>
    </row>
    <row r="8" spans="2:15" ht="16" x14ac:dyDescent="0.2">
      <c r="B8" s="50"/>
      <c r="C8" s="58" t="s">
        <v>10</v>
      </c>
      <c r="D8" s="4" t="s">
        <v>9</v>
      </c>
      <c r="E8" s="5">
        <v>1</v>
      </c>
      <c r="F8" s="37">
        <v>99</v>
      </c>
      <c r="G8" s="5">
        <v>0</v>
      </c>
      <c r="H8" s="37">
        <v>0</v>
      </c>
      <c r="I8" s="5">
        <v>0</v>
      </c>
      <c r="J8" s="60">
        <f>ROUND(AVERAGE(E8:E11),1)</f>
        <v>3.6</v>
      </c>
      <c r="K8" s="27">
        <f t="shared" si="0"/>
        <v>2</v>
      </c>
      <c r="L8" s="35">
        <f t="shared" si="1"/>
        <v>198</v>
      </c>
      <c r="M8" s="27">
        <f t="shared" si="2"/>
        <v>0</v>
      </c>
      <c r="N8" s="35">
        <f t="shared" si="3"/>
        <v>0</v>
      </c>
      <c r="O8" s="27">
        <f t="shared" si="4"/>
        <v>0</v>
      </c>
    </row>
    <row r="9" spans="2:15" ht="16" x14ac:dyDescent="0.2">
      <c r="B9" s="50"/>
      <c r="C9" s="58"/>
      <c r="D9" s="4" t="s">
        <v>11</v>
      </c>
      <c r="E9" s="5">
        <v>0</v>
      </c>
      <c r="F9" s="37">
        <v>100</v>
      </c>
      <c r="G9" s="5">
        <v>0</v>
      </c>
      <c r="H9" s="37">
        <v>0</v>
      </c>
      <c r="I9" s="5">
        <v>0</v>
      </c>
      <c r="J9" s="61"/>
      <c r="K9" s="28">
        <f t="shared" si="0"/>
        <v>0</v>
      </c>
      <c r="L9" s="16">
        <f t="shared" si="1"/>
        <v>200</v>
      </c>
      <c r="M9" s="28">
        <f t="shared" si="2"/>
        <v>0</v>
      </c>
      <c r="N9" s="16">
        <f t="shared" si="3"/>
        <v>0</v>
      </c>
      <c r="O9" s="28">
        <f t="shared" si="4"/>
        <v>0</v>
      </c>
    </row>
    <row r="10" spans="2:15" ht="16" x14ac:dyDescent="0.2">
      <c r="B10" s="50"/>
      <c r="C10" s="58"/>
      <c r="D10" s="4" t="s">
        <v>12</v>
      </c>
      <c r="E10" s="5">
        <v>12.5</v>
      </c>
      <c r="F10" s="37">
        <v>55</v>
      </c>
      <c r="G10" s="5">
        <v>22</v>
      </c>
      <c r="H10" s="37">
        <v>10.5</v>
      </c>
      <c r="I10" s="5">
        <v>0</v>
      </c>
      <c r="J10" s="61"/>
      <c r="K10" s="28">
        <f t="shared" si="0"/>
        <v>25</v>
      </c>
      <c r="L10" s="16">
        <f t="shared" si="1"/>
        <v>110</v>
      </c>
      <c r="M10" s="28">
        <f t="shared" si="2"/>
        <v>44</v>
      </c>
      <c r="N10" s="16">
        <f t="shared" si="3"/>
        <v>21</v>
      </c>
      <c r="O10" s="28">
        <f t="shared" si="4"/>
        <v>0</v>
      </c>
    </row>
    <row r="11" spans="2:15" ht="16" x14ac:dyDescent="0.2">
      <c r="B11" s="50"/>
      <c r="C11" s="58"/>
      <c r="D11" s="4" t="s">
        <v>13</v>
      </c>
      <c r="E11" s="5">
        <v>1</v>
      </c>
      <c r="F11" s="37">
        <v>84</v>
      </c>
      <c r="G11" s="5">
        <v>7</v>
      </c>
      <c r="H11" s="37">
        <v>8</v>
      </c>
      <c r="I11" s="5">
        <v>0</v>
      </c>
      <c r="J11" s="62"/>
      <c r="K11" s="29">
        <f t="shared" si="0"/>
        <v>2</v>
      </c>
      <c r="L11" s="26">
        <f t="shared" si="1"/>
        <v>168</v>
      </c>
      <c r="M11" s="29">
        <f t="shared" si="2"/>
        <v>14</v>
      </c>
      <c r="N11" s="26">
        <f t="shared" si="3"/>
        <v>16</v>
      </c>
      <c r="O11" s="29">
        <f t="shared" si="4"/>
        <v>0</v>
      </c>
    </row>
    <row r="12" spans="2:15" ht="16" x14ac:dyDescent="0.2">
      <c r="B12" s="50"/>
      <c r="C12" s="59" t="s">
        <v>11</v>
      </c>
      <c r="D12" s="19" t="s">
        <v>10</v>
      </c>
      <c r="E12" s="21">
        <v>10</v>
      </c>
      <c r="F12" s="36">
        <v>77.5</v>
      </c>
      <c r="G12" s="22">
        <v>0</v>
      </c>
      <c r="H12" s="36">
        <v>12.5</v>
      </c>
      <c r="I12" s="23">
        <v>0</v>
      </c>
      <c r="J12" s="64">
        <f>ROUND(AVERAGE(E12:E15),1)</f>
        <v>5.9</v>
      </c>
      <c r="K12" s="28">
        <f t="shared" si="0"/>
        <v>20</v>
      </c>
      <c r="L12" s="16">
        <f t="shared" si="1"/>
        <v>155</v>
      </c>
      <c r="M12" s="28">
        <f t="shared" si="2"/>
        <v>0</v>
      </c>
      <c r="N12" s="16">
        <f t="shared" si="3"/>
        <v>25</v>
      </c>
      <c r="O12" s="28">
        <f t="shared" si="4"/>
        <v>0</v>
      </c>
    </row>
    <row r="13" spans="2:15" ht="16" x14ac:dyDescent="0.2">
      <c r="B13" s="50"/>
      <c r="C13" s="59"/>
      <c r="D13" s="4" t="s">
        <v>9</v>
      </c>
      <c r="E13" s="5">
        <v>8.5</v>
      </c>
      <c r="F13" s="37">
        <v>85.5</v>
      </c>
      <c r="G13" s="5">
        <v>0.5</v>
      </c>
      <c r="H13" s="37">
        <v>5.5</v>
      </c>
      <c r="I13" s="6">
        <v>0</v>
      </c>
      <c r="J13" s="64"/>
      <c r="K13" s="28">
        <f t="shared" si="0"/>
        <v>17</v>
      </c>
      <c r="L13" s="16">
        <f t="shared" si="1"/>
        <v>171</v>
      </c>
      <c r="M13" s="28">
        <f t="shared" si="2"/>
        <v>1</v>
      </c>
      <c r="N13" s="16">
        <f t="shared" si="3"/>
        <v>11</v>
      </c>
      <c r="O13" s="28">
        <f t="shared" si="4"/>
        <v>0</v>
      </c>
    </row>
    <row r="14" spans="2:15" ht="16" x14ac:dyDescent="0.2">
      <c r="B14" s="50"/>
      <c r="C14" s="59"/>
      <c r="D14" s="4" t="s">
        <v>12</v>
      </c>
      <c r="E14" s="5">
        <v>2</v>
      </c>
      <c r="F14" s="37">
        <v>67</v>
      </c>
      <c r="G14" s="5">
        <v>24.5</v>
      </c>
      <c r="H14" s="37">
        <v>6.5</v>
      </c>
      <c r="I14" s="6">
        <v>0</v>
      </c>
      <c r="J14" s="64"/>
      <c r="K14" s="28">
        <f t="shared" si="0"/>
        <v>4</v>
      </c>
      <c r="L14" s="16">
        <f t="shared" si="1"/>
        <v>134</v>
      </c>
      <c r="M14" s="28">
        <f t="shared" si="2"/>
        <v>49</v>
      </c>
      <c r="N14" s="16">
        <f t="shared" si="3"/>
        <v>13</v>
      </c>
      <c r="O14" s="28">
        <f t="shared" si="4"/>
        <v>0</v>
      </c>
    </row>
    <row r="15" spans="2:15" ht="16" x14ac:dyDescent="0.2">
      <c r="B15" s="50"/>
      <c r="C15" s="59"/>
      <c r="D15" s="4" t="s">
        <v>13</v>
      </c>
      <c r="E15" s="7">
        <v>3</v>
      </c>
      <c r="F15" s="38">
        <v>51</v>
      </c>
      <c r="G15" s="7">
        <v>13</v>
      </c>
      <c r="H15" s="38">
        <v>32.5</v>
      </c>
      <c r="I15" s="8">
        <v>0.5</v>
      </c>
      <c r="J15" s="64"/>
      <c r="K15" s="28">
        <f t="shared" si="0"/>
        <v>6</v>
      </c>
      <c r="L15" s="16">
        <f t="shared" si="1"/>
        <v>102</v>
      </c>
      <c r="M15" s="28">
        <f t="shared" si="2"/>
        <v>26</v>
      </c>
      <c r="N15" s="16">
        <f t="shared" si="3"/>
        <v>65</v>
      </c>
      <c r="O15" s="28">
        <f t="shared" si="4"/>
        <v>1</v>
      </c>
    </row>
    <row r="16" spans="2:15" ht="16" x14ac:dyDescent="0.2">
      <c r="B16" s="50"/>
      <c r="C16" s="52" t="s">
        <v>12</v>
      </c>
      <c r="D16" s="4" t="s">
        <v>10</v>
      </c>
      <c r="E16" s="5">
        <v>35</v>
      </c>
      <c r="F16" s="37">
        <v>33</v>
      </c>
      <c r="G16" s="5">
        <v>1</v>
      </c>
      <c r="H16" s="37">
        <v>31</v>
      </c>
      <c r="I16" s="5">
        <v>0</v>
      </c>
      <c r="J16" s="60">
        <f>ROUND(AVERAGE(E16:E19),1)</f>
        <v>10.3</v>
      </c>
      <c r="K16" s="27">
        <f t="shared" si="0"/>
        <v>70</v>
      </c>
      <c r="L16" s="35">
        <f t="shared" si="1"/>
        <v>66</v>
      </c>
      <c r="M16" s="27">
        <f t="shared" si="2"/>
        <v>2</v>
      </c>
      <c r="N16" s="35">
        <f t="shared" si="3"/>
        <v>62</v>
      </c>
      <c r="O16" s="27">
        <f t="shared" si="4"/>
        <v>0</v>
      </c>
    </row>
    <row r="17" spans="2:15" ht="16" x14ac:dyDescent="0.2">
      <c r="B17" s="50"/>
      <c r="C17" s="52"/>
      <c r="D17" s="4" t="s">
        <v>11</v>
      </c>
      <c r="E17" s="5">
        <v>0</v>
      </c>
      <c r="F17" s="37">
        <v>100</v>
      </c>
      <c r="G17" s="5">
        <v>0</v>
      </c>
      <c r="H17" s="37">
        <v>0</v>
      </c>
      <c r="I17" s="5">
        <v>0</v>
      </c>
      <c r="J17" s="61"/>
      <c r="K17" s="28">
        <f t="shared" si="0"/>
        <v>0</v>
      </c>
      <c r="L17" s="16">
        <f t="shared" si="1"/>
        <v>200</v>
      </c>
      <c r="M17" s="28">
        <f t="shared" si="2"/>
        <v>0</v>
      </c>
      <c r="N17" s="16">
        <f t="shared" si="3"/>
        <v>0</v>
      </c>
      <c r="O17" s="28">
        <f t="shared" si="4"/>
        <v>0</v>
      </c>
    </row>
    <row r="18" spans="2:15" ht="16" x14ac:dyDescent="0.2">
      <c r="B18" s="50"/>
      <c r="C18" s="52"/>
      <c r="D18" s="4" t="s">
        <v>9</v>
      </c>
      <c r="E18" s="5">
        <v>0</v>
      </c>
      <c r="F18" s="37">
        <v>100</v>
      </c>
      <c r="G18" s="5">
        <v>0</v>
      </c>
      <c r="H18" s="37">
        <v>0</v>
      </c>
      <c r="I18" s="5">
        <v>0</v>
      </c>
      <c r="J18" s="61"/>
      <c r="K18" s="28">
        <f t="shared" si="0"/>
        <v>0</v>
      </c>
      <c r="L18" s="16">
        <f t="shared" si="1"/>
        <v>200</v>
      </c>
      <c r="M18" s="28">
        <f t="shared" si="2"/>
        <v>0</v>
      </c>
      <c r="N18" s="16">
        <f t="shared" si="3"/>
        <v>0</v>
      </c>
      <c r="O18" s="28">
        <f t="shared" si="4"/>
        <v>0</v>
      </c>
    </row>
    <row r="19" spans="2:15" ht="16" x14ac:dyDescent="0.2">
      <c r="B19" s="50"/>
      <c r="C19" s="52"/>
      <c r="D19" s="4" t="s">
        <v>13</v>
      </c>
      <c r="E19" s="5">
        <v>6</v>
      </c>
      <c r="F19" s="37">
        <v>23.5</v>
      </c>
      <c r="G19" s="5">
        <v>32</v>
      </c>
      <c r="H19" s="37">
        <v>38.5</v>
      </c>
      <c r="I19" s="5">
        <v>0</v>
      </c>
      <c r="J19" s="62"/>
      <c r="K19" s="29">
        <f t="shared" si="0"/>
        <v>12</v>
      </c>
      <c r="L19" s="26">
        <f t="shared" si="1"/>
        <v>47</v>
      </c>
      <c r="M19" s="29">
        <f t="shared" si="2"/>
        <v>64</v>
      </c>
      <c r="N19" s="26">
        <f t="shared" si="3"/>
        <v>77</v>
      </c>
      <c r="O19" s="29">
        <f t="shared" si="4"/>
        <v>0</v>
      </c>
    </row>
    <row r="20" spans="2:15" ht="16" x14ac:dyDescent="0.2">
      <c r="B20" s="50"/>
      <c r="C20" s="53" t="s">
        <v>13</v>
      </c>
      <c r="D20" s="4" t="s">
        <v>10</v>
      </c>
      <c r="E20" s="9">
        <v>16</v>
      </c>
      <c r="F20" s="39">
        <v>48.5</v>
      </c>
      <c r="G20" s="9">
        <v>0</v>
      </c>
      <c r="H20" s="39">
        <v>35.5</v>
      </c>
      <c r="I20" s="10">
        <v>0</v>
      </c>
      <c r="J20" s="63">
        <f>ROUND(AVERAGE(E20:E23),1)</f>
        <v>7.3</v>
      </c>
      <c r="K20" s="28">
        <f t="shared" si="0"/>
        <v>32</v>
      </c>
      <c r="L20" s="16">
        <f t="shared" si="1"/>
        <v>97</v>
      </c>
      <c r="M20" s="28">
        <f t="shared" si="2"/>
        <v>0</v>
      </c>
      <c r="N20" s="16">
        <f t="shared" si="3"/>
        <v>71</v>
      </c>
      <c r="O20" s="28">
        <f t="shared" si="4"/>
        <v>0</v>
      </c>
    </row>
    <row r="21" spans="2:15" ht="16" x14ac:dyDescent="0.2">
      <c r="B21" s="50"/>
      <c r="C21" s="53"/>
      <c r="D21" s="4" t="s">
        <v>11</v>
      </c>
      <c r="E21" s="5">
        <v>0</v>
      </c>
      <c r="F21" s="37">
        <v>100</v>
      </c>
      <c r="G21" s="5">
        <v>0</v>
      </c>
      <c r="H21" s="37">
        <v>0</v>
      </c>
      <c r="I21" s="6">
        <v>0</v>
      </c>
      <c r="J21" s="63"/>
      <c r="K21" s="28">
        <f t="shared" si="0"/>
        <v>0</v>
      </c>
      <c r="L21" s="16">
        <f t="shared" si="1"/>
        <v>200</v>
      </c>
      <c r="M21" s="28">
        <f t="shared" si="2"/>
        <v>0</v>
      </c>
      <c r="N21" s="16">
        <f t="shared" si="3"/>
        <v>0</v>
      </c>
      <c r="O21" s="28">
        <f t="shared" si="4"/>
        <v>0</v>
      </c>
    </row>
    <row r="22" spans="2:15" ht="16" x14ac:dyDescent="0.2">
      <c r="B22" s="50"/>
      <c r="C22" s="53"/>
      <c r="D22" s="4" t="s">
        <v>12</v>
      </c>
      <c r="E22" s="5">
        <v>13</v>
      </c>
      <c r="F22" s="37">
        <v>51</v>
      </c>
      <c r="G22" s="5">
        <v>28.5</v>
      </c>
      <c r="H22" s="37">
        <v>7.5</v>
      </c>
      <c r="I22" s="6">
        <v>0</v>
      </c>
      <c r="J22" s="63"/>
      <c r="K22" s="28">
        <f t="shared" si="0"/>
        <v>26</v>
      </c>
      <c r="L22" s="16">
        <f t="shared" si="1"/>
        <v>102</v>
      </c>
      <c r="M22" s="28">
        <f t="shared" si="2"/>
        <v>57</v>
      </c>
      <c r="N22" s="16">
        <f t="shared" si="3"/>
        <v>15</v>
      </c>
      <c r="O22" s="28">
        <f t="shared" si="4"/>
        <v>0</v>
      </c>
    </row>
    <row r="23" spans="2:15" ht="16" x14ac:dyDescent="0.2">
      <c r="B23" s="50"/>
      <c r="C23" s="53"/>
      <c r="D23" s="4" t="s">
        <v>9</v>
      </c>
      <c r="E23" s="5">
        <v>0</v>
      </c>
      <c r="F23" s="37">
        <v>100</v>
      </c>
      <c r="G23" s="5">
        <v>0</v>
      </c>
      <c r="H23" s="37">
        <v>0</v>
      </c>
      <c r="I23" s="6">
        <v>0</v>
      </c>
      <c r="J23" s="63"/>
      <c r="K23" s="28">
        <f t="shared" si="0"/>
        <v>0</v>
      </c>
      <c r="L23" s="16">
        <f t="shared" si="1"/>
        <v>200</v>
      </c>
      <c r="M23" s="28">
        <f t="shared" si="2"/>
        <v>0</v>
      </c>
      <c r="N23" s="16">
        <f t="shared" si="3"/>
        <v>0</v>
      </c>
      <c r="O23" s="28">
        <f t="shared" si="4"/>
        <v>0</v>
      </c>
    </row>
    <row r="24" spans="2:15" ht="16" x14ac:dyDescent="0.2">
      <c r="B24" s="50" t="s">
        <v>14</v>
      </c>
      <c r="C24" s="52" t="s">
        <v>12</v>
      </c>
      <c r="D24" s="4" t="s">
        <v>10</v>
      </c>
      <c r="E24" s="9">
        <v>3.19</v>
      </c>
      <c r="F24" s="39">
        <v>70.12</v>
      </c>
      <c r="G24" s="9">
        <v>0</v>
      </c>
      <c r="H24" s="39">
        <v>25.1</v>
      </c>
      <c r="I24" s="9">
        <v>1.59</v>
      </c>
      <c r="J24" s="60">
        <f>ROUND(AVERAGE(E24:E27),1)</f>
        <v>1.8</v>
      </c>
      <c r="K24" s="43">
        <f>ROUND((E24/100)*249,0)</f>
        <v>8</v>
      </c>
      <c r="L24" s="27">
        <f>ROUND((F24/100)*249,0)</f>
        <v>175</v>
      </c>
      <c r="M24" s="35">
        <f>ROUND((G24/100)*249,0)</f>
        <v>0</v>
      </c>
      <c r="N24" s="27">
        <f>ROUND((H24/100)*249,0)</f>
        <v>62</v>
      </c>
      <c r="O24" s="46">
        <f>ROUND((I24/100)*249,0)</f>
        <v>4</v>
      </c>
    </row>
    <row r="25" spans="2:15" ht="16" x14ac:dyDescent="0.2">
      <c r="B25" s="50"/>
      <c r="C25" s="52"/>
      <c r="D25" s="4" t="s">
        <v>11</v>
      </c>
      <c r="E25" s="5">
        <v>0</v>
      </c>
      <c r="F25" s="37">
        <v>100</v>
      </c>
      <c r="G25" s="5">
        <v>0</v>
      </c>
      <c r="H25" s="37">
        <v>0</v>
      </c>
      <c r="I25" s="5">
        <v>0</v>
      </c>
      <c r="J25" s="61"/>
      <c r="K25" s="41">
        <f t="shared" ref="K25:K27" si="5">ROUND((E25/100)*249,0)</f>
        <v>0</v>
      </c>
      <c r="L25" s="28">
        <f t="shared" ref="L25:L27" si="6">ROUND((F25/100)*249,0)</f>
        <v>249</v>
      </c>
      <c r="M25" s="16">
        <f t="shared" ref="M25:M27" si="7">ROUND((G25/100)*249,0)</f>
        <v>0</v>
      </c>
      <c r="N25" s="28">
        <f t="shared" ref="N25:N27" si="8">ROUND((H25/100)*249,0)</f>
        <v>0</v>
      </c>
      <c r="O25" s="42">
        <f t="shared" ref="O25:O27" si="9">ROUND((I25/100)*249,0)</f>
        <v>0</v>
      </c>
    </row>
    <row r="26" spans="2:15" ht="16" x14ac:dyDescent="0.2">
      <c r="B26" s="50"/>
      <c r="C26" s="52"/>
      <c r="D26" s="4" t="s">
        <v>9</v>
      </c>
      <c r="E26" s="5">
        <v>0</v>
      </c>
      <c r="F26" s="37">
        <v>100</v>
      </c>
      <c r="G26" s="5">
        <v>0</v>
      </c>
      <c r="H26" s="37">
        <v>0</v>
      </c>
      <c r="I26" s="5">
        <v>0</v>
      </c>
      <c r="J26" s="61"/>
      <c r="K26" s="41">
        <f t="shared" si="5"/>
        <v>0</v>
      </c>
      <c r="L26" s="28">
        <f t="shared" si="6"/>
        <v>249</v>
      </c>
      <c r="M26" s="16">
        <f t="shared" si="7"/>
        <v>0</v>
      </c>
      <c r="N26" s="28">
        <f t="shared" si="8"/>
        <v>0</v>
      </c>
      <c r="O26" s="42">
        <f t="shared" si="9"/>
        <v>0</v>
      </c>
    </row>
    <row r="27" spans="2:15" ht="16" x14ac:dyDescent="0.2">
      <c r="B27" s="50"/>
      <c r="C27" s="52"/>
      <c r="D27" s="4" t="s">
        <v>13</v>
      </c>
      <c r="E27" s="5">
        <v>4</v>
      </c>
      <c r="F27" s="37">
        <v>24.4</v>
      </c>
      <c r="G27" s="5">
        <v>46.4</v>
      </c>
      <c r="H27" s="37">
        <v>24.8</v>
      </c>
      <c r="I27" s="5">
        <v>0.4</v>
      </c>
      <c r="J27" s="62"/>
      <c r="K27" s="44">
        <f t="shared" si="5"/>
        <v>10</v>
      </c>
      <c r="L27" s="29">
        <f t="shared" si="6"/>
        <v>61</v>
      </c>
      <c r="M27" s="26">
        <f t="shared" si="7"/>
        <v>116</v>
      </c>
      <c r="N27" s="29">
        <f t="shared" si="8"/>
        <v>62</v>
      </c>
      <c r="O27" s="45">
        <f t="shared" si="9"/>
        <v>1</v>
      </c>
    </row>
    <row r="28" spans="2:15" ht="16" x14ac:dyDescent="0.2">
      <c r="B28" s="50"/>
      <c r="C28" s="53" t="s">
        <v>13</v>
      </c>
      <c r="D28" s="4" t="s">
        <v>10</v>
      </c>
      <c r="E28" s="9">
        <v>4.0999999999999996</v>
      </c>
      <c r="F28" s="39">
        <v>44.78</v>
      </c>
      <c r="G28" s="9">
        <v>0</v>
      </c>
      <c r="H28" s="39">
        <v>46.23</v>
      </c>
      <c r="I28" s="10">
        <v>4.8499999999999996</v>
      </c>
      <c r="J28" s="63">
        <f>ROUND(AVERAGE(E28:E31),1)</f>
        <v>1.6</v>
      </c>
      <c r="K28" s="41">
        <f t="shared" ref="K28:K31" si="10">ROUND((E28/100)*250,0)</f>
        <v>10</v>
      </c>
      <c r="L28" s="41">
        <f t="shared" ref="L28:L31" si="11">ROUND((F28/100)*250,0)</f>
        <v>112</v>
      </c>
      <c r="M28" s="41">
        <f t="shared" ref="M28:M31" si="12">ROUND((G28/100)*250,0)</f>
        <v>0</v>
      </c>
      <c r="N28" s="28">
        <f t="shared" ref="N28:N31" si="13">ROUND((H28/100)*250,0)</f>
        <v>116</v>
      </c>
      <c r="O28" s="28">
        <f t="shared" ref="O28:O31" si="14">ROUND((I28/100)*250,0)</f>
        <v>12</v>
      </c>
    </row>
    <row r="29" spans="2:15" ht="16" x14ac:dyDescent="0.2">
      <c r="B29" s="50"/>
      <c r="C29" s="53"/>
      <c r="D29" s="4" t="s">
        <v>11</v>
      </c>
      <c r="E29" s="5">
        <v>0</v>
      </c>
      <c r="F29" s="37">
        <v>100</v>
      </c>
      <c r="G29" s="5">
        <v>0</v>
      </c>
      <c r="H29" s="37">
        <v>0</v>
      </c>
      <c r="I29" s="6">
        <v>0</v>
      </c>
      <c r="J29" s="63"/>
      <c r="K29" s="41">
        <f t="shared" si="10"/>
        <v>0</v>
      </c>
      <c r="L29" s="41">
        <f t="shared" si="11"/>
        <v>250</v>
      </c>
      <c r="M29" s="41">
        <f t="shared" si="12"/>
        <v>0</v>
      </c>
      <c r="N29" s="28">
        <f t="shared" si="13"/>
        <v>0</v>
      </c>
      <c r="O29" s="28">
        <f t="shared" si="14"/>
        <v>0</v>
      </c>
    </row>
    <row r="30" spans="2:15" ht="16" x14ac:dyDescent="0.2">
      <c r="B30" s="50"/>
      <c r="C30" s="53"/>
      <c r="D30" s="4" t="s">
        <v>12</v>
      </c>
      <c r="E30" s="5">
        <v>2.37</v>
      </c>
      <c r="F30" s="37">
        <v>37.549999999999997</v>
      </c>
      <c r="G30" s="5">
        <v>45.09</v>
      </c>
      <c r="H30" s="37">
        <v>14.62</v>
      </c>
      <c r="I30" s="6">
        <v>0.39</v>
      </c>
      <c r="J30" s="63"/>
      <c r="K30" s="41">
        <f t="shared" si="10"/>
        <v>6</v>
      </c>
      <c r="L30" s="41">
        <f t="shared" si="11"/>
        <v>94</v>
      </c>
      <c r="M30" s="41">
        <f t="shared" si="12"/>
        <v>113</v>
      </c>
      <c r="N30" s="28">
        <f t="shared" si="13"/>
        <v>37</v>
      </c>
      <c r="O30" s="28">
        <f t="shared" si="14"/>
        <v>1</v>
      </c>
    </row>
    <row r="31" spans="2:15" ht="16" x14ac:dyDescent="0.2">
      <c r="B31" s="51"/>
      <c r="C31" s="54"/>
      <c r="D31" s="12" t="s">
        <v>9</v>
      </c>
      <c r="E31" s="5">
        <v>0</v>
      </c>
      <c r="F31" s="37">
        <v>99.6</v>
      </c>
      <c r="G31" s="5">
        <v>0</v>
      </c>
      <c r="H31" s="37">
        <v>0.4</v>
      </c>
      <c r="I31" s="6">
        <v>0</v>
      </c>
      <c r="J31" s="63"/>
      <c r="K31" s="28">
        <f t="shared" si="10"/>
        <v>0</v>
      </c>
      <c r="L31" s="16">
        <f t="shared" si="11"/>
        <v>249</v>
      </c>
      <c r="M31" s="28">
        <f t="shared" si="12"/>
        <v>0</v>
      </c>
      <c r="N31" s="16">
        <f t="shared" si="13"/>
        <v>1</v>
      </c>
      <c r="O31" s="28">
        <f t="shared" si="14"/>
        <v>0</v>
      </c>
    </row>
    <row r="32" spans="2:15" ht="16" x14ac:dyDescent="0.2">
      <c r="B32" s="24" t="s">
        <v>15</v>
      </c>
      <c r="C32" s="11" t="s">
        <v>13</v>
      </c>
      <c r="D32" s="4" t="s">
        <v>12</v>
      </c>
      <c r="E32" s="19">
        <v>3.66</v>
      </c>
      <c r="F32" s="40">
        <v>85.97</v>
      </c>
      <c r="G32" s="20">
        <v>4.26</v>
      </c>
      <c r="H32" s="40">
        <v>6.09</v>
      </c>
      <c r="I32" s="32">
        <v>0</v>
      </c>
      <c r="J32" s="33">
        <f>ROUND(E32,1)</f>
        <v>3.7</v>
      </c>
      <c r="K32" s="34">
        <f>ROUND((E32/100)*164,0)</f>
        <v>6</v>
      </c>
      <c r="L32" s="31">
        <f>ROUND((F32/100)*164,0)</f>
        <v>141</v>
      </c>
      <c r="M32" s="34">
        <f>ROUND((G32/100)*164,0)</f>
        <v>7</v>
      </c>
      <c r="N32" s="31">
        <f>ROUND((H32/100)*164,0)</f>
        <v>10</v>
      </c>
      <c r="O32" s="34">
        <f>ROUND((I32/100)*164,0)</f>
        <v>0</v>
      </c>
    </row>
    <row r="33" spans="2:15" ht="16" x14ac:dyDescent="0.2">
      <c r="B33" s="18" t="s">
        <v>26</v>
      </c>
      <c r="C33" s="25" t="s">
        <v>16</v>
      </c>
      <c r="D33" s="14" t="s">
        <v>13</v>
      </c>
      <c r="E33" s="15">
        <v>0</v>
      </c>
      <c r="F33" s="37">
        <v>100</v>
      </c>
      <c r="G33" s="5">
        <v>0</v>
      </c>
      <c r="H33" s="37">
        <v>0</v>
      </c>
      <c r="I33" s="6">
        <v>0</v>
      </c>
      <c r="J33" s="16">
        <f>ROUND(E33,1)</f>
        <v>0</v>
      </c>
      <c r="K33" s="28">
        <f>ROUND((E33/100)*22,0)</f>
        <v>0</v>
      </c>
      <c r="L33" s="16">
        <f>ROUND((F33/100)*22,0)</f>
        <v>22</v>
      </c>
      <c r="M33" s="28">
        <f>ROUND((G33/100)*22,0)</f>
        <v>0</v>
      </c>
      <c r="N33" s="16">
        <f>ROUND((H33/100)*22,0)</f>
        <v>0</v>
      </c>
      <c r="O33" s="28">
        <f>ROUND((I33/100)*22,0)</f>
        <v>0</v>
      </c>
    </row>
    <row r="34" spans="2:15" ht="16" x14ac:dyDescent="0.2">
      <c r="B34" s="30" t="s">
        <v>17</v>
      </c>
      <c r="C34" s="47" t="s">
        <v>13</v>
      </c>
      <c r="D34" s="40" t="s">
        <v>12</v>
      </c>
      <c r="E34" s="5">
        <v>0</v>
      </c>
      <c r="F34" s="37">
        <v>100</v>
      </c>
      <c r="G34" s="5">
        <v>0</v>
      </c>
      <c r="H34" s="37">
        <v>0</v>
      </c>
      <c r="I34" s="6">
        <v>0</v>
      </c>
      <c r="J34" s="16">
        <f>ROUND(E34,1)</f>
        <v>0</v>
      </c>
      <c r="K34" s="28">
        <f>ROUND((E34/100)*15,0)</f>
        <v>0</v>
      </c>
      <c r="L34" s="16">
        <f>ROUND((F34/100)*15,0)</f>
        <v>15</v>
      </c>
      <c r="M34" s="28">
        <f>ROUND((G34/100)*15,0)</f>
        <v>0</v>
      </c>
      <c r="N34" s="16">
        <f>ROUND((H34/100)*15,0)</f>
        <v>0</v>
      </c>
      <c r="O34" s="28">
        <f>ROUND((I34/100)*15,0)</f>
        <v>0</v>
      </c>
    </row>
    <row r="35" spans="2:15" x14ac:dyDescent="0.2">
      <c r="B35" s="55" t="s">
        <v>18</v>
      </c>
      <c r="C35" s="56"/>
      <c r="D35" s="56"/>
      <c r="E35" s="34">
        <f>AVERAGE(AVERAGE(E4:E23),AVERAGE(E24:E31),E32,E33,E34)</f>
        <v>2.7484999999999999</v>
      </c>
      <c r="F35" s="34">
        <f t="shared" ref="F35:I35" si="15">AVERAGE(AVERAGE(F4:F23),AVERAGE(F24:F31),F32,F33,F34)</f>
        <v>86.035249999999991</v>
      </c>
      <c r="G35" s="31">
        <f t="shared" si="15"/>
        <v>4.7092499999999999</v>
      </c>
      <c r="H35" s="34">
        <f t="shared" si="15"/>
        <v>6.3167499999999999</v>
      </c>
      <c r="I35" s="31">
        <f t="shared" si="15"/>
        <v>0.18575</v>
      </c>
      <c r="J35" s="34">
        <f>ROUND(AVERAGE(AVERAGE(J4:J23),AVERAGE(J24:J31),J32,J33,J34),1)</f>
        <v>2.8</v>
      </c>
      <c r="K35" s="34">
        <f>ROUND(AVERAGE(K4:K34),0)</f>
        <v>12</v>
      </c>
      <c r="L35" s="34">
        <f t="shared" ref="L35:O35" si="16">ROUND(AVERAGE(L4:L34),0)</f>
        <v>145</v>
      </c>
      <c r="M35" s="34">
        <f t="shared" si="16"/>
        <v>18</v>
      </c>
      <c r="N35" s="34">
        <f t="shared" si="16"/>
        <v>24</v>
      </c>
      <c r="O35" s="34">
        <f t="shared" si="16"/>
        <v>1</v>
      </c>
    </row>
  </sheetData>
  <mergeCells count="17">
    <mergeCell ref="J24:J27"/>
    <mergeCell ref="J28:J31"/>
    <mergeCell ref="J4:J7"/>
    <mergeCell ref="J8:J11"/>
    <mergeCell ref="J12:J15"/>
    <mergeCell ref="J16:J19"/>
    <mergeCell ref="J20:J23"/>
    <mergeCell ref="B24:B31"/>
    <mergeCell ref="C24:C27"/>
    <mergeCell ref="C28:C31"/>
    <mergeCell ref="B35:D35"/>
    <mergeCell ref="B4:B23"/>
    <mergeCell ref="C4:C7"/>
    <mergeCell ref="C8:C11"/>
    <mergeCell ref="C12:C15"/>
    <mergeCell ref="C16:C19"/>
    <mergeCell ref="C20:C23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7CAB-41DA-8A42-99F4-BC61A8C99BBF}">
  <dimension ref="B3:O35"/>
  <sheetViews>
    <sheetView workbookViewId="0">
      <selection activeCell="E39" sqref="E39"/>
    </sheetView>
  </sheetViews>
  <sheetFormatPr baseColWidth="10" defaultColWidth="8.83203125" defaultRowHeight="15" x14ac:dyDescent="0.2"/>
  <cols>
    <col min="2" max="2" width="11.5" customWidth="1"/>
    <col min="3" max="3" width="15" customWidth="1"/>
    <col min="4" max="4" width="12.5" customWidth="1"/>
    <col min="5" max="5" width="18.6640625" customWidth="1"/>
    <col min="6" max="6" width="26.33203125" customWidth="1"/>
    <col min="7" max="7" width="24.1640625" customWidth="1"/>
    <col min="8" max="8" width="22.83203125" customWidth="1"/>
    <col min="9" max="9" width="21.5" customWidth="1"/>
    <col min="10" max="10" width="15.83203125" customWidth="1"/>
    <col min="11" max="11" width="12.83203125" customWidth="1"/>
    <col min="12" max="12" width="15.6640625" customWidth="1"/>
    <col min="13" max="13" width="13.5" customWidth="1"/>
    <col min="14" max="14" width="13" customWidth="1"/>
    <col min="15" max="15" width="19.1640625" customWidth="1"/>
  </cols>
  <sheetData>
    <row r="3" spans="2:15" ht="16" x14ac:dyDescent="0.2">
      <c r="B3" s="1" t="s">
        <v>0</v>
      </c>
      <c r="C3" s="2" t="s">
        <v>1</v>
      </c>
      <c r="D3" s="2" t="s">
        <v>2</v>
      </c>
      <c r="E3" s="3" t="s">
        <v>3</v>
      </c>
      <c r="F3" s="2" t="s">
        <v>4</v>
      </c>
      <c r="G3" s="3" t="s">
        <v>5</v>
      </c>
      <c r="H3" s="2" t="s">
        <v>6</v>
      </c>
      <c r="I3" s="3" t="s">
        <v>7</v>
      </c>
      <c r="J3" s="17" t="s">
        <v>20</v>
      </c>
      <c r="K3" s="18" t="s">
        <v>21</v>
      </c>
      <c r="L3" s="18" t="s">
        <v>22</v>
      </c>
      <c r="M3" s="18" t="s">
        <v>23</v>
      </c>
      <c r="N3" s="18" t="s">
        <v>24</v>
      </c>
      <c r="O3" s="18" t="s">
        <v>25</v>
      </c>
    </row>
    <row r="4" spans="2:15" ht="16" x14ac:dyDescent="0.2">
      <c r="B4" s="50" t="s">
        <v>8</v>
      </c>
      <c r="C4" s="57" t="s">
        <v>9</v>
      </c>
      <c r="D4" s="4" t="s">
        <v>10</v>
      </c>
      <c r="E4" s="5">
        <v>65.5</v>
      </c>
      <c r="F4" s="36">
        <v>26</v>
      </c>
      <c r="G4" s="5">
        <v>0</v>
      </c>
      <c r="H4" s="36">
        <v>7.5</v>
      </c>
      <c r="I4" s="6">
        <v>1</v>
      </c>
      <c r="J4" s="63">
        <f>ROUND(AVERAGE(E4:E7),1)</f>
        <v>42</v>
      </c>
      <c r="K4" s="27">
        <f>ROUND((E4/100)*200,0)</f>
        <v>131</v>
      </c>
      <c r="L4" s="16">
        <f>ROUND((F4/100)*200,0)</f>
        <v>52</v>
      </c>
      <c r="M4" s="27">
        <f>ROUND((G4/100)*200,0)</f>
        <v>0</v>
      </c>
      <c r="N4" s="16">
        <f>ROUND((H4/100)*200,0)</f>
        <v>15</v>
      </c>
      <c r="O4" s="27">
        <f>ROUND((I4/100)*200,0)</f>
        <v>2</v>
      </c>
    </row>
    <row r="5" spans="2:15" ht="16" x14ac:dyDescent="0.2">
      <c r="B5" s="50"/>
      <c r="C5" s="57"/>
      <c r="D5" s="4" t="s">
        <v>11</v>
      </c>
      <c r="E5" s="5">
        <v>12.5</v>
      </c>
      <c r="F5" s="37">
        <v>77</v>
      </c>
      <c r="G5" s="5">
        <v>7.5</v>
      </c>
      <c r="H5" s="37">
        <v>3</v>
      </c>
      <c r="I5" s="6">
        <v>0</v>
      </c>
      <c r="J5" s="63"/>
      <c r="K5" s="28">
        <f t="shared" ref="K5:O23" si="0">ROUND((E5/100)*200,0)</f>
        <v>25</v>
      </c>
      <c r="L5" s="16">
        <f t="shared" si="0"/>
        <v>154</v>
      </c>
      <c r="M5" s="28">
        <f t="shared" si="0"/>
        <v>15</v>
      </c>
      <c r="N5" s="16">
        <f t="shared" si="0"/>
        <v>6</v>
      </c>
      <c r="O5" s="28">
        <f t="shared" si="0"/>
        <v>0</v>
      </c>
    </row>
    <row r="6" spans="2:15" ht="16" x14ac:dyDescent="0.2">
      <c r="B6" s="50"/>
      <c r="C6" s="57"/>
      <c r="D6" s="4" t="s">
        <v>12</v>
      </c>
      <c r="E6" s="5">
        <v>48</v>
      </c>
      <c r="F6" s="37">
        <v>40</v>
      </c>
      <c r="G6" s="5">
        <v>3</v>
      </c>
      <c r="H6" s="37">
        <v>9</v>
      </c>
      <c r="I6" s="6">
        <v>0</v>
      </c>
      <c r="J6" s="63"/>
      <c r="K6" s="28">
        <f t="shared" si="0"/>
        <v>96</v>
      </c>
      <c r="L6" s="16">
        <f t="shared" si="0"/>
        <v>80</v>
      </c>
      <c r="M6" s="28">
        <f t="shared" si="0"/>
        <v>6</v>
      </c>
      <c r="N6" s="16">
        <f t="shared" si="0"/>
        <v>18</v>
      </c>
      <c r="O6" s="28">
        <f t="shared" si="0"/>
        <v>0</v>
      </c>
    </row>
    <row r="7" spans="2:15" ht="16" x14ac:dyDescent="0.2">
      <c r="B7" s="50"/>
      <c r="C7" s="57"/>
      <c r="D7" s="4" t="s">
        <v>13</v>
      </c>
      <c r="E7" s="7">
        <v>42</v>
      </c>
      <c r="F7" s="38">
        <v>23</v>
      </c>
      <c r="G7" s="7">
        <v>21</v>
      </c>
      <c r="H7" s="38">
        <v>14</v>
      </c>
      <c r="I7" s="8">
        <v>0</v>
      </c>
      <c r="J7" s="63"/>
      <c r="K7" s="28">
        <f t="shared" si="0"/>
        <v>84</v>
      </c>
      <c r="L7" s="16">
        <f t="shared" si="0"/>
        <v>46</v>
      </c>
      <c r="M7" s="28">
        <f t="shared" si="0"/>
        <v>42</v>
      </c>
      <c r="N7" s="16">
        <f t="shared" si="0"/>
        <v>28</v>
      </c>
      <c r="O7" s="28">
        <f t="shared" si="0"/>
        <v>0</v>
      </c>
    </row>
    <row r="8" spans="2:15" ht="16" x14ac:dyDescent="0.2">
      <c r="B8" s="50"/>
      <c r="C8" s="58" t="s">
        <v>10</v>
      </c>
      <c r="D8" s="4" t="s">
        <v>9</v>
      </c>
      <c r="E8" s="5">
        <v>43.5</v>
      </c>
      <c r="F8" s="37">
        <v>46.5</v>
      </c>
      <c r="G8" s="5">
        <v>0</v>
      </c>
      <c r="H8" s="37">
        <v>10</v>
      </c>
      <c r="I8" s="6">
        <v>0</v>
      </c>
      <c r="J8" s="60">
        <f>ROUND(AVERAGE(E8:E11),1)</f>
        <v>39.1</v>
      </c>
      <c r="K8" s="27">
        <f t="shared" si="0"/>
        <v>87</v>
      </c>
      <c r="L8" s="35">
        <f t="shared" si="0"/>
        <v>93</v>
      </c>
      <c r="M8" s="27">
        <f t="shared" si="0"/>
        <v>0</v>
      </c>
      <c r="N8" s="35">
        <f t="shared" si="0"/>
        <v>20</v>
      </c>
      <c r="O8" s="27">
        <f t="shared" si="0"/>
        <v>0</v>
      </c>
    </row>
    <row r="9" spans="2:15" ht="16" x14ac:dyDescent="0.2">
      <c r="B9" s="50"/>
      <c r="C9" s="58"/>
      <c r="D9" s="4" t="s">
        <v>11</v>
      </c>
      <c r="E9" s="5">
        <v>20.5</v>
      </c>
      <c r="F9" s="37">
        <v>70.5</v>
      </c>
      <c r="G9" s="5">
        <v>2.5</v>
      </c>
      <c r="H9" s="37">
        <v>6</v>
      </c>
      <c r="I9" s="6">
        <v>0.5</v>
      </c>
      <c r="J9" s="61"/>
      <c r="K9" s="28">
        <f t="shared" si="0"/>
        <v>41</v>
      </c>
      <c r="L9" s="16">
        <f t="shared" si="0"/>
        <v>141</v>
      </c>
      <c r="M9" s="28">
        <f t="shared" si="0"/>
        <v>5</v>
      </c>
      <c r="N9" s="16">
        <f t="shared" si="0"/>
        <v>12</v>
      </c>
      <c r="O9" s="28">
        <f t="shared" si="0"/>
        <v>1</v>
      </c>
    </row>
    <row r="10" spans="2:15" ht="16" x14ac:dyDescent="0.2">
      <c r="B10" s="50"/>
      <c r="C10" s="58"/>
      <c r="D10" s="4" t="s">
        <v>12</v>
      </c>
      <c r="E10" s="5">
        <v>59.5</v>
      </c>
      <c r="F10" s="37">
        <v>27.5</v>
      </c>
      <c r="G10" s="5">
        <v>5</v>
      </c>
      <c r="H10" s="37">
        <v>8</v>
      </c>
      <c r="I10" s="6">
        <v>0</v>
      </c>
      <c r="J10" s="61"/>
      <c r="K10" s="28">
        <f t="shared" si="0"/>
        <v>119</v>
      </c>
      <c r="L10" s="16">
        <f t="shared" si="0"/>
        <v>55</v>
      </c>
      <c r="M10" s="28">
        <f t="shared" si="0"/>
        <v>10</v>
      </c>
      <c r="N10" s="16">
        <f t="shared" si="0"/>
        <v>16</v>
      </c>
      <c r="O10" s="28">
        <f t="shared" si="0"/>
        <v>0</v>
      </c>
    </row>
    <row r="11" spans="2:15" ht="16" x14ac:dyDescent="0.2">
      <c r="B11" s="50"/>
      <c r="C11" s="58"/>
      <c r="D11" s="4" t="s">
        <v>13</v>
      </c>
      <c r="E11" s="5">
        <v>33</v>
      </c>
      <c r="F11" s="37">
        <v>35</v>
      </c>
      <c r="G11" s="5">
        <v>24</v>
      </c>
      <c r="H11" s="37">
        <v>7.5</v>
      </c>
      <c r="I11" s="6">
        <v>0.5</v>
      </c>
      <c r="J11" s="62"/>
      <c r="K11" s="29">
        <f t="shared" si="0"/>
        <v>66</v>
      </c>
      <c r="L11" s="26">
        <f t="shared" si="0"/>
        <v>70</v>
      </c>
      <c r="M11" s="29">
        <f t="shared" si="0"/>
        <v>48</v>
      </c>
      <c r="N11" s="26">
        <f t="shared" si="0"/>
        <v>15</v>
      </c>
      <c r="O11" s="29">
        <f t="shared" si="0"/>
        <v>1</v>
      </c>
    </row>
    <row r="12" spans="2:15" ht="16" x14ac:dyDescent="0.2">
      <c r="B12" s="50"/>
      <c r="C12" s="59" t="s">
        <v>11</v>
      </c>
      <c r="D12" s="4" t="s">
        <v>10</v>
      </c>
      <c r="E12" s="9">
        <v>36</v>
      </c>
      <c r="F12" s="39">
        <v>58</v>
      </c>
      <c r="G12" s="9">
        <v>0</v>
      </c>
      <c r="H12" s="39">
        <v>5.5</v>
      </c>
      <c r="I12" s="10">
        <v>0.5</v>
      </c>
      <c r="J12" s="64">
        <f>ROUND(AVERAGE(E12:E15),1)</f>
        <v>42</v>
      </c>
      <c r="K12" s="28">
        <f t="shared" si="0"/>
        <v>72</v>
      </c>
      <c r="L12" s="16">
        <f t="shared" si="0"/>
        <v>116</v>
      </c>
      <c r="M12" s="28">
        <f t="shared" si="0"/>
        <v>0</v>
      </c>
      <c r="N12" s="16">
        <f t="shared" si="0"/>
        <v>11</v>
      </c>
      <c r="O12" s="28">
        <f t="shared" si="0"/>
        <v>1</v>
      </c>
    </row>
    <row r="13" spans="2:15" ht="16" x14ac:dyDescent="0.2">
      <c r="B13" s="50"/>
      <c r="C13" s="59"/>
      <c r="D13" s="4" t="s">
        <v>9</v>
      </c>
      <c r="E13" s="5">
        <v>37.5</v>
      </c>
      <c r="F13" s="37">
        <v>52</v>
      </c>
      <c r="G13" s="5">
        <v>0</v>
      </c>
      <c r="H13" s="37">
        <v>10</v>
      </c>
      <c r="I13" s="6">
        <v>0.5</v>
      </c>
      <c r="J13" s="64"/>
      <c r="K13" s="28">
        <f t="shared" si="0"/>
        <v>75</v>
      </c>
      <c r="L13" s="16">
        <f t="shared" si="0"/>
        <v>104</v>
      </c>
      <c r="M13" s="28">
        <f t="shared" si="0"/>
        <v>0</v>
      </c>
      <c r="N13" s="16">
        <f t="shared" si="0"/>
        <v>20</v>
      </c>
      <c r="O13" s="28">
        <f t="shared" si="0"/>
        <v>1</v>
      </c>
    </row>
    <row r="14" spans="2:15" ht="16" x14ac:dyDescent="0.2">
      <c r="B14" s="50"/>
      <c r="C14" s="59"/>
      <c r="D14" s="4" t="s">
        <v>12</v>
      </c>
      <c r="E14" s="5">
        <v>45.5</v>
      </c>
      <c r="F14" s="37">
        <v>25</v>
      </c>
      <c r="G14" s="5">
        <v>21.5</v>
      </c>
      <c r="H14" s="37">
        <v>8</v>
      </c>
      <c r="I14" s="6">
        <v>0</v>
      </c>
      <c r="J14" s="64"/>
      <c r="K14" s="28">
        <f t="shared" si="0"/>
        <v>91</v>
      </c>
      <c r="L14" s="16">
        <f t="shared" si="0"/>
        <v>50</v>
      </c>
      <c r="M14" s="28">
        <f t="shared" si="0"/>
        <v>43</v>
      </c>
      <c r="N14" s="16">
        <f t="shared" si="0"/>
        <v>16</v>
      </c>
      <c r="O14" s="28">
        <f t="shared" si="0"/>
        <v>0</v>
      </c>
    </row>
    <row r="15" spans="2:15" ht="16" x14ac:dyDescent="0.2">
      <c r="B15" s="50"/>
      <c r="C15" s="59"/>
      <c r="D15" s="4" t="s">
        <v>13</v>
      </c>
      <c r="E15" s="7">
        <v>49</v>
      </c>
      <c r="F15" s="38">
        <v>21</v>
      </c>
      <c r="G15" s="7">
        <v>23</v>
      </c>
      <c r="H15" s="38">
        <v>7</v>
      </c>
      <c r="I15" s="8">
        <v>0</v>
      </c>
      <c r="J15" s="64"/>
      <c r="K15" s="28">
        <f t="shared" si="0"/>
        <v>98</v>
      </c>
      <c r="L15" s="16">
        <f t="shared" si="0"/>
        <v>42</v>
      </c>
      <c r="M15" s="28">
        <f t="shared" si="0"/>
        <v>46</v>
      </c>
      <c r="N15" s="16">
        <f t="shared" si="0"/>
        <v>14</v>
      </c>
      <c r="O15" s="28">
        <f t="shared" si="0"/>
        <v>0</v>
      </c>
    </row>
    <row r="16" spans="2:15" ht="16" x14ac:dyDescent="0.2">
      <c r="B16" s="50"/>
      <c r="C16" s="52" t="s">
        <v>12</v>
      </c>
      <c r="D16" s="4" t="s">
        <v>10</v>
      </c>
      <c r="E16" s="5">
        <v>41.02</v>
      </c>
      <c r="F16" s="37">
        <v>49.23</v>
      </c>
      <c r="G16" s="5">
        <v>0</v>
      </c>
      <c r="H16" s="37">
        <v>9.23</v>
      </c>
      <c r="I16" s="6">
        <v>0.5</v>
      </c>
      <c r="J16" s="60">
        <f>ROUND(AVERAGE(E16:E19),1)</f>
        <v>30.3</v>
      </c>
      <c r="K16" s="27">
        <f t="shared" si="0"/>
        <v>82</v>
      </c>
      <c r="L16" s="35">
        <f t="shared" si="0"/>
        <v>98</v>
      </c>
      <c r="M16" s="27">
        <f t="shared" si="0"/>
        <v>0</v>
      </c>
      <c r="N16" s="35">
        <f t="shared" si="0"/>
        <v>18</v>
      </c>
      <c r="O16" s="27">
        <f t="shared" si="0"/>
        <v>1</v>
      </c>
    </row>
    <row r="17" spans="2:15" ht="16" x14ac:dyDescent="0.2">
      <c r="B17" s="50"/>
      <c r="C17" s="52"/>
      <c r="D17" s="4" t="s">
        <v>11</v>
      </c>
      <c r="E17" s="5">
        <v>8.1999999999999993</v>
      </c>
      <c r="F17" s="37">
        <v>83.08</v>
      </c>
      <c r="G17" s="5">
        <v>1.02</v>
      </c>
      <c r="H17" s="37">
        <v>7.69</v>
      </c>
      <c r="I17" s="6">
        <v>0</v>
      </c>
      <c r="J17" s="61"/>
      <c r="K17" s="28">
        <f t="shared" si="0"/>
        <v>16</v>
      </c>
      <c r="L17" s="16">
        <f t="shared" si="0"/>
        <v>166</v>
      </c>
      <c r="M17" s="28">
        <f t="shared" si="0"/>
        <v>2</v>
      </c>
      <c r="N17" s="16">
        <f t="shared" si="0"/>
        <v>15</v>
      </c>
      <c r="O17" s="28">
        <f t="shared" si="0"/>
        <v>0</v>
      </c>
    </row>
    <row r="18" spans="2:15" ht="16" x14ac:dyDescent="0.2">
      <c r="B18" s="50"/>
      <c r="C18" s="52"/>
      <c r="D18" s="4" t="s">
        <v>9</v>
      </c>
      <c r="E18" s="5">
        <v>46.15</v>
      </c>
      <c r="F18" s="37">
        <v>37.43</v>
      </c>
      <c r="G18" s="5">
        <v>0</v>
      </c>
      <c r="H18" s="37">
        <v>14.88</v>
      </c>
      <c r="I18" s="6">
        <v>1.54</v>
      </c>
      <c r="J18" s="61"/>
      <c r="K18" s="28">
        <f t="shared" si="0"/>
        <v>92</v>
      </c>
      <c r="L18" s="16">
        <f t="shared" si="0"/>
        <v>75</v>
      </c>
      <c r="M18" s="28">
        <f t="shared" si="0"/>
        <v>0</v>
      </c>
      <c r="N18" s="16">
        <f t="shared" si="0"/>
        <v>30</v>
      </c>
      <c r="O18" s="28">
        <f t="shared" si="0"/>
        <v>3</v>
      </c>
    </row>
    <row r="19" spans="2:15" ht="16" x14ac:dyDescent="0.2">
      <c r="B19" s="50"/>
      <c r="C19" s="52"/>
      <c r="D19" s="4" t="s">
        <v>13</v>
      </c>
      <c r="E19" s="5">
        <v>25.64</v>
      </c>
      <c r="F19" s="37">
        <v>42.56</v>
      </c>
      <c r="G19" s="5">
        <v>26.15</v>
      </c>
      <c r="H19" s="37">
        <v>5.64</v>
      </c>
      <c r="I19" s="6">
        <v>0</v>
      </c>
      <c r="J19" s="62"/>
      <c r="K19" s="29">
        <f t="shared" si="0"/>
        <v>51</v>
      </c>
      <c r="L19" s="26">
        <f t="shared" si="0"/>
        <v>85</v>
      </c>
      <c r="M19" s="29">
        <f t="shared" si="0"/>
        <v>52</v>
      </c>
      <c r="N19" s="26">
        <f t="shared" si="0"/>
        <v>11</v>
      </c>
      <c r="O19" s="29">
        <f t="shared" si="0"/>
        <v>0</v>
      </c>
    </row>
    <row r="20" spans="2:15" ht="16" x14ac:dyDescent="0.2">
      <c r="B20" s="50"/>
      <c r="C20" s="53" t="s">
        <v>13</v>
      </c>
      <c r="D20" s="4" t="s">
        <v>10</v>
      </c>
      <c r="E20" s="9">
        <v>30</v>
      </c>
      <c r="F20" s="39">
        <v>64.5</v>
      </c>
      <c r="G20" s="9">
        <v>0</v>
      </c>
      <c r="H20" s="39">
        <v>5.5</v>
      </c>
      <c r="I20" s="10">
        <v>0</v>
      </c>
      <c r="J20" s="63">
        <f>ROUND(AVERAGE(E20:E23),1)</f>
        <v>33.299999999999997</v>
      </c>
      <c r="K20" s="28">
        <f t="shared" si="0"/>
        <v>60</v>
      </c>
      <c r="L20" s="16">
        <f t="shared" si="0"/>
        <v>129</v>
      </c>
      <c r="M20" s="28">
        <f t="shared" si="0"/>
        <v>0</v>
      </c>
      <c r="N20" s="16">
        <f t="shared" si="0"/>
        <v>11</v>
      </c>
      <c r="O20" s="28">
        <f t="shared" si="0"/>
        <v>0</v>
      </c>
    </row>
    <row r="21" spans="2:15" ht="16" x14ac:dyDescent="0.2">
      <c r="B21" s="50"/>
      <c r="C21" s="53"/>
      <c r="D21" s="4" t="s">
        <v>11</v>
      </c>
      <c r="E21" s="5">
        <v>6</v>
      </c>
      <c r="F21" s="37">
        <v>86.5</v>
      </c>
      <c r="G21" s="5">
        <v>5.5</v>
      </c>
      <c r="H21" s="37">
        <v>2</v>
      </c>
      <c r="I21" s="6">
        <v>0</v>
      </c>
      <c r="J21" s="63"/>
      <c r="K21" s="28">
        <f t="shared" si="0"/>
        <v>12</v>
      </c>
      <c r="L21" s="16">
        <f t="shared" si="0"/>
        <v>173</v>
      </c>
      <c r="M21" s="28">
        <f t="shared" si="0"/>
        <v>11</v>
      </c>
      <c r="N21" s="16">
        <f t="shared" si="0"/>
        <v>4</v>
      </c>
      <c r="O21" s="28">
        <f t="shared" si="0"/>
        <v>0</v>
      </c>
    </row>
    <row r="22" spans="2:15" ht="16" x14ac:dyDescent="0.2">
      <c r="B22" s="50"/>
      <c r="C22" s="53"/>
      <c r="D22" s="4" t="s">
        <v>12</v>
      </c>
      <c r="E22" s="5">
        <v>55</v>
      </c>
      <c r="F22" s="37">
        <v>25.5</v>
      </c>
      <c r="G22" s="5">
        <v>8</v>
      </c>
      <c r="H22" s="37">
        <v>11</v>
      </c>
      <c r="I22" s="6">
        <v>0.5</v>
      </c>
      <c r="J22" s="63"/>
      <c r="K22" s="28">
        <f t="shared" si="0"/>
        <v>110</v>
      </c>
      <c r="L22" s="16">
        <f t="shared" si="0"/>
        <v>51</v>
      </c>
      <c r="M22" s="28">
        <f t="shared" si="0"/>
        <v>16</v>
      </c>
      <c r="N22" s="16">
        <f t="shared" si="0"/>
        <v>22</v>
      </c>
      <c r="O22" s="28">
        <f t="shared" si="0"/>
        <v>1</v>
      </c>
    </row>
    <row r="23" spans="2:15" ht="16" x14ac:dyDescent="0.2">
      <c r="B23" s="50"/>
      <c r="C23" s="53"/>
      <c r="D23" s="4" t="s">
        <v>9</v>
      </c>
      <c r="E23" s="5">
        <v>42</v>
      </c>
      <c r="F23" s="37">
        <v>37</v>
      </c>
      <c r="G23" s="5">
        <v>0</v>
      </c>
      <c r="H23" s="37">
        <v>20.5</v>
      </c>
      <c r="I23" s="6">
        <v>0.5</v>
      </c>
      <c r="J23" s="63"/>
      <c r="K23" s="28">
        <f t="shared" si="0"/>
        <v>84</v>
      </c>
      <c r="L23" s="16">
        <f t="shared" si="0"/>
        <v>74</v>
      </c>
      <c r="M23" s="28">
        <f t="shared" si="0"/>
        <v>0</v>
      </c>
      <c r="N23" s="16">
        <f t="shared" si="0"/>
        <v>41</v>
      </c>
      <c r="O23" s="28">
        <f t="shared" si="0"/>
        <v>1</v>
      </c>
    </row>
    <row r="24" spans="2:15" ht="16" x14ac:dyDescent="0.2">
      <c r="B24" s="50" t="s">
        <v>14</v>
      </c>
      <c r="C24" s="52" t="s">
        <v>12</v>
      </c>
      <c r="D24" s="4" t="s">
        <v>10</v>
      </c>
      <c r="E24" s="9">
        <v>1.2</v>
      </c>
      <c r="F24" s="39">
        <v>98.8</v>
      </c>
      <c r="G24" s="9">
        <v>0</v>
      </c>
      <c r="H24" s="39">
        <v>0</v>
      </c>
      <c r="I24" s="10">
        <v>0</v>
      </c>
      <c r="J24" s="60">
        <f>ROUND(AVERAGE(E24:E27),1)</f>
        <v>11.9</v>
      </c>
      <c r="K24" s="43">
        <f>ROUND((E24/100)*249,0)</f>
        <v>3</v>
      </c>
      <c r="L24" s="27">
        <f>ROUND((F24/100)*249,0)</f>
        <v>246</v>
      </c>
      <c r="M24" s="35">
        <f>ROUND((G24/100)*249,0)</f>
        <v>0</v>
      </c>
      <c r="N24" s="27">
        <f>ROUND((H24/100)*249,0)</f>
        <v>0</v>
      </c>
      <c r="O24" s="46">
        <f>ROUND((I24/100)*249,0)</f>
        <v>0</v>
      </c>
    </row>
    <row r="25" spans="2:15" ht="16" x14ac:dyDescent="0.2">
      <c r="B25" s="50"/>
      <c r="C25" s="52"/>
      <c r="D25" s="4" t="s">
        <v>11</v>
      </c>
      <c r="E25" s="5">
        <v>1.2</v>
      </c>
      <c r="F25" s="37">
        <v>94.78</v>
      </c>
      <c r="G25" s="5">
        <v>0</v>
      </c>
      <c r="H25" s="37">
        <v>4.0199999999999996</v>
      </c>
      <c r="I25" s="6">
        <v>0</v>
      </c>
      <c r="J25" s="61"/>
      <c r="K25" s="41">
        <f t="shared" ref="K25:O27" si="1">ROUND((E25/100)*249,0)</f>
        <v>3</v>
      </c>
      <c r="L25" s="28">
        <f t="shared" si="1"/>
        <v>236</v>
      </c>
      <c r="M25" s="16">
        <f t="shared" si="1"/>
        <v>0</v>
      </c>
      <c r="N25" s="28">
        <f t="shared" si="1"/>
        <v>10</v>
      </c>
      <c r="O25" s="42">
        <f t="shared" si="1"/>
        <v>0</v>
      </c>
    </row>
    <row r="26" spans="2:15" ht="16" x14ac:dyDescent="0.2">
      <c r="B26" s="50"/>
      <c r="C26" s="52"/>
      <c r="D26" s="4" t="s">
        <v>9</v>
      </c>
      <c r="E26" s="5">
        <v>25.79</v>
      </c>
      <c r="F26" s="37">
        <v>46.8</v>
      </c>
      <c r="G26" s="5">
        <v>0</v>
      </c>
      <c r="H26" s="37">
        <v>26.19</v>
      </c>
      <c r="I26" s="6">
        <v>1.19</v>
      </c>
      <c r="J26" s="61"/>
      <c r="K26" s="41">
        <f t="shared" si="1"/>
        <v>64</v>
      </c>
      <c r="L26" s="28">
        <f t="shared" si="1"/>
        <v>117</v>
      </c>
      <c r="M26" s="16">
        <f t="shared" si="1"/>
        <v>0</v>
      </c>
      <c r="N26" s="28">
        <f t="shared" si="1"/>
        <v>65</v>
      </c>
      <c r="O26" s="42">
        <f t="shared" si="1"/>
        <v>3</v>
      </c>
    </row>
    <row r="27" spans="2:15" ht="16" x14ac:dyDescent="0.2">
      <c r="B27" s="50"/>
      <c r="C27" s="52"/>
      <c r="D27" s="4" t="s">
        <v>13</v>
      </c>
      <c r="E27" s="5">
        <v>19.52</v>
      </c>
      <c r="F27" s="37">
        <v>48.2</v>
      </c>
      <c r="G27" s="5">
        <v>22.31</v>
      </c>
      <c r="H27" s="37">
        <v>8.75</v>
      </c>
      <c r="I27" s="6">
        <v>1.19</v>
      </c>
      <c r="J27" s="62"/>
      <c r="K27" s="44">
        <f t="shared" si="1"/>
        <v>49</v>
      </c>
      <c r="L27" s="29">
        <f t="shared" si="1"/>
        <v>120</v>
      </c>
      <c r="M27" s="26">
        <f t="shared" si="1"/>
        <v>56</v>
      </c>
      <c r="N27" s="29">
        <f t="shared" si="1"/>
        <v>22</v>
      </c>
      <c r="O27" s="45">
        <f t="shared" si="1"/>
        <v>3</v>
      </c>
    </row>
    <row r="28" spans="2:15" ht="16" x14ac:dyDescent="0.2">
      <c r="B28" s="50"/>
      <c r="C28" s="53" t="s">
        <v>13</v>
      </c>
      <c r="D28" s="4" t="s">
        <v>10</v>
      </c>
      <c r="E28" s="9">
        <v>13.2</v>
      </c>
      <c r="F28" s="39">
        <v>78.8</v>
      </c>
      <c r="G28" s="9">
        <v>0</v>
      </c>
      <c r="H28" s="39">
        <v>8</v>
      </c>
      <c r="I28" s="10">
        <v>0</v>
      </c>
      <c r="J28" s="63">
        <f>ROUND(AVERAGE(E28:E31),1)</f>
        <v>14.2</v>
      </c>
      <c r="K28" s="41">
        <f t="shared" ref="K28:O31" si="2">ROUND((E28/100)*250,0)</f>
        <v>33</v>
      </c>
      <c r="L28" s="41">
        <f t="shared" si="2"/>
        <v>197</v>
      </c>
      <c r="M28" s="41">
        <f t="shared" si="2"/>
        <v>0</v>
      </c>
      <c r="N28" s="28">
        <f t="shared" si="2"/>
        <v>20</v>
      </c>
      <c r="O28" s="28">
        <f t="shared" si="2"/>
        <v>0</v>
      </c>
    </row>
    <row r="29" spans="2:15" ht="16" x14ac:dyDescent="0.2">
      <c r="B29" s="50"/>
      <c r="C29" s="53"/>
      <c r="D29" s="4" t="s">
        <v>11</v>
      </c>
      <c r="E29" s="5">
        <v>2</v>
      </c>
      <c r="F29" s="37">
        <v>94</v>
      </c>
      <c r="G29" s="5">
        <v>1.2</v>
      </c>
      <c r="H29" s="37">
        <v>2.8</v>
      </c>
      <c r="I29" s="6">
        <v>0</v>
      </c>
      <c r="J29" s="63"/>
      <c r="K29" s="41">
        <f t="shared" si="2"/>
        <v>5</v>
      </c>
      <c r="L29" s="41">
        <f t="shared" si="2"/>
        <v>235</v>
      </c>
      <c r="M29" s="41">
        <f t="shared" si="2"/>
        <v>3</v>
      </c>
      <c r="N29" s="28">
        <f t="shared" si="2"/>
        <v>7</v>
      </c>
      <c r="O29" s="28">
        <f t="shared" si="2"/>
        <v>0</v>
      </c>
    </row>
    <row r="30" spans="2:15" ht="16" x14ac:dyDescent="0.2">
      <c r="B30" s="50"/>
      <c r="C30" s="53"/>
      <c r="D30" s="4" t="s">
        <v>12</v>
      </c>
      <c r="E30" s="5">
        <v>23.16</v>
      </c>
      <c r="F30" s="37">
        <v>39.28</v>
      </c>
      <c r="G30" s="5">
        <v>11.11</v>
      </c>
      <c r="H30" s="37">
        <v>25.4</v>
      </c>
      <c r="I30" s="6">
        <v>1.19</v>
      </c>
      <c r="J30" s="63"/>
      <c r="K30" s="41">
        <f t="shared" si="2"/>
        <v>58</v>
      </c>
      <c r="L30" s="41">
        <f t="shared" si="2"/>
        <v>98</v>
      </c>
      <c r="M30" s="41">
        <f t="shared" si="2"/>
        <v>28</v>
      </c>
      <c r="N30" s="28">
        <f t="shared" si="2"/>
        <v>64</v>
      </c>
      <c r="O30" s="28">
        <f t="shared" si="2"/>
        <v>3</v>
      </c>
    </row>
    <row r="31" spans="2:15" ht="16" x14ac:dyDescent="0.2">
      <c r="B31" s="51"/>
      <c r="C31" s="54"/>
      <c r="D31" s="12" t="s">
        <v>9</v>
      </c>
      <c r="E31" s="5">
        <v>18.25</v>
      </c>
      <c r="F31" s="49">
        <v>43.25</v>
      </c>
      <c r="G31" s="5">
        <v>0</v>
      </c>
      <c r="H31" s="49">
        <v>36.11</v>
      </c>
      <c r="I31" s="6">
        <v>2.38</v>
      </c>
      <c r="J31" s="63"/>
      <c r="K31" s="28">
        <f t="shared" si="2"/>
        <v>46</v>
      </c>
      <c r="L31" s="16">
        <f t="shared" si="2"/>
        <v>108</v>
      </c>
      <c r="M31" s="28">
        <f t="shared" si="2"/>
        <v>0</v>
      </c>
      <c r="N31" s="16">
        <f t="shared" si="2"/>
        <v>90</v>
      </c>
      <c r="O31" s="28">
        <f t="shared" si="2"/>
        <v>6</v>
      </c>
    </row>
    <row r="32" spans="2:15" ht="16" x14ac:dyDescent="0.2">
      <c r="B32" s="13" t="s">
        <v>15</v>
      </c>
      <c r="C32" s="11" t="s">
        <v>13</v>
      </c>
      <c r="D32" s="4" t="s">
        <v>12</v>
      </c>
      <c r="E32" s="4">
        <v>21.95</v>
      </c>
      <c r="F32" s="48">
        <v>53.66</v>
      </c>
      <c r="G32" s="4">
        <v>5.49</v>
      </c>
      <c r="H32" s="48">
        <v>18.899999999999999</v>
      </c>
      <c r="I32" s="4">
        <v>0</v>
      </c>
      <c r="J32" s="33">
        <f>ROUND(E32,1)</f>
        <v>22</v>
      </c>
      <c r="K32" s="34">
        <f>ROUND((E32/100)*164,0)</f>
        <v>36</v>
      </c>
      <c r="L32" s="31">
        <f>ROUND((F32/100)*164,0)</f>
        <v>88</v>
      </c>
      <c r="M32" s="34">
        <f>ROUND((G32/100)*164,0)</f>
        <v>9</v>
      </c>
      <c r="N32" s="31">
        <f>ROUND((H32/100)*164,0)</f>
        <v>31</v>
      </c>
      <c r="O32" s="34">
        <f>ROUND((I32/100)*164,0)</f>
        <v>0</v>
      </c>
    </row>
    <row r="33" spans="2:15" ht="16" x14ac:dyDescent="0.2">
      <c r="B33" s="18" t="s">
        <v>26</v>
      </c>
      <c r="C33" s="25" t="s">
        <v>16</v>
      </c>
      <c r="D33" s="14" t="s">
        <v>13</v>
      </c>
      <c r="E33" s="15">
        <v>0</v>
      </c>
      <c r="F33" s="37">
        <v>100</v>
      </c>
      <c r="G33" s="5">
        <v>0</v>
      </c>
      <c r="H33" s="37">
        <v>0</v>
      </c>
      <c r="I33" s="6">
        <v>0</v>
      </c>
      <c r="J33" s="16">
        <f>ROUND(E33,1)</f>
        <v>0</v>
      </c>
      <c r="K33" s="28">
        <f>ROUND((E33/100)*22,0)</f>
        <v>0</v>
      </c>
      <c r="L33" s="16">
        <f>ROUND((F33/100)*22,0)</f>
        <v>22</v>
      </c>
      <c r="M33" s="28">
        <f>ROUND((G33/100)*22,0)</f>
        <v>0</v>
      </c>
      <c r="N33" s="16">
        <f>ROUND((H33/100)*22,0)</f>
        <v>0</v>
      </c>
      <c r="O33" s="28">
        <f>ROUND((I33/100)*22,0)</f>
        <v>0</v>
      </c>
    </row>
    <row r="34" spans="2:15" ht="16" x14ac:dyDescent="0.2">
      <c r="B34" s="30" t="s">
        <v>17</v>
      </c>
      <c r="C34" s="47" t="s">
        <v>13</v>
      </c>
      <c r="D34" s="40" t="s">
        <v>12</v>
      </c>
      <c r="E34" s="5">
        <v>0</v>
      </c>
      <c r="F34" s="37">
        <v>100</v>
      </c>
      <c r="G34" s="5">
        <v>0</v>
      </c>
      <c r="H34" s="37">
        <v>0</v>
      </c>
      <c r="I34" s="6">
        <v>0</v>
      </c>
      <c r="J34" s="16">
        <f>ROUND(E34,1)</f>
        <v>0</v>
      </c>
      <c r="K34" s="28">
        <f>ROUND((E34/100)*15,0)</f>
        <v>0</v>
      </c>
      <c r="L34" s="16">
        <f>ROUND((F34/100)*15,0)</f>
        <v>15</v>
      </c>
      <c r="M34" s="28">
        <f>ROUND((G34/100)*15,0)</f>
        <v>0</v>
      </c>
      <c r="N34" s="16">
        <f>ROUND((H34/100)*15,0)</f>
        <v>0</v>
      </c>
      <c r="O34" s="28">
        <f>ROUND((I34/100)*15,0)</f>
        <v>0</v>
      </c>
    </row>
    <row r="35" spans="2:15" x14ac:dyDescent="0.2">
      <c r="B35" s="55" t="s">
        <v>18</v>
      </c>
      <c r="C35" s="56"/>
      <c r="D35" s="56"/>
      <c r="E35" s="34">
        <f>AVERAGE(AVERAGE(E4:E23),AVERAGE(E24:E31),E32,E33,E34)</f>
        <v>14.463100000000001</v>
      </c>
      <c r="F35" s="34">
        <f t="shared" ref="F35:I35" si="3">AVERAGE(AVERAGE(F4:F23),AVERAGE(F24:F31),F32,F33,F34)</f>
        <v>73.602749999999986</v>
      </c>
      <c r="G35" s="31">
        <f t="shared" si="3"/>
        <v>3.4451999999999998</v>
      </c>
      <c r="H35" s="34">
        <f t="shared" si="3"/>
        <v>8.2811500000000002</v>
      </c>
      <c r="I35" s="31">
        <f t="shared" si="3"/>
        <v>0.20915</v>
      </c>
      <c r="J35" s="34">
        <f>ROUND(AVERAGE(AVERAGE(J4:J23),AVERAGE(J24:J31),J32,J33,J34),1)</f>
        <v>14.5</v>
      </c>
      <c r="K35" s="34">
        <f>ROUND(AVERAGE(K4:K34),0)</f>
        <v>58</v>
      </c>
      <c r="L35" s="34">
        <f t="shared" ref="L35:O35" si="4">ROUND(AVERAGE(L4:L34),0)</f>
        <v>108</v>
      </c>
      <c r="M35" s="34">
        <f t="shared" si="4"/>
        <v>13</v>
      </c>
      <c r="N35" s="34">
        <f t="shared" si="4"/>
        <v>21</v>
      </c>
      <c r="O35" s="34">
        <f t="shared" si="4"/>
        <v>1</v>
      </c>
    </row>
  </sheetData>
  <mergeCells count="17">
    <mergeCell ref="B24:B31"/>
    <mergeCell ref="C24:C27"/>
    <mergeCell ref="C28:C31"/>
    <mergeCell ref="B35:D35"/>
    <mergeCell ref="B4:B23"/>
    <mergeCell ref="C4:C7"/>
    <mergeCell ref="C8:C11"/>
    <mergeCell ref="C12:C15"/>
    <mergeCell ref="C16:C19"/>
    <mergeCell ref="C20:C23"/>
    <mergeCell ref="J24:J27"/>
    <mergeCell ref="J28:J31"/>
    <mergeCell ref="J4:J7"/>
    <mergeCell ref="J8:J11"/>
    <mergeCell ref="J12:J15"/>
    <mergeCell ref="J16:J19"/>
    <mergeCell ref="J20:J23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87AF-EFDD-0A42-8210-E4F9DC6AE030}">
  <dimension ref="B3:O35"/>
  <sheetViews>
    <sheetView topLeftCell="B1" workbookViewId="0">
      <selection activeCell="F40" sqref="F40"/>
    </sheetView>
  </sheetViews>
  <sheetFormatPr baseColWidth="10" defaultColWidth="8.83203125" defaultRowHeight="15" x14ac:dyDescent="0.2"/>
  <cols>
    <col min="2" max="2" width="11.5" customWidth="1"/>
    <col min="3" max="3" width="16.1640625" customWidth="1"/>
    <col min="4" max="4" width="12.5" customWidth="1"/>
    <col min="5" max="5" width="18.6640625" customWidth="1"/>
    <col min="6" max="6" width="26.33203125" customWidth="1"/>
    <col min="7" max="7" width="24.1640625" customWidth="1"/>
    <col min="8" max="8" width="22.83203125" customWidth="1"/>
    <col min="9" max="9" width="21.5" customWidth="1"/>
    <col min="10" max="10" width="17" customWidth="1"/>
    <col min="11" max="11" width="15.1640625" customWidth="1"/>
    <col min="12" max="12" width="15.83203125" customWidth="1"/>
    <col min="13" max="13" width="15.5" customWidth="1"/>
    <col min="14" max="14" width="14.5" customWidth="1"/>
    <col min="15" max="15" width="19" customWidth="1"/>
  </cols>
  <sheetData>
    <row r="3" spans="2:15" ht="16" x14ac:dyDescent="0.2">
      <c r="B3" s="1" t="s">
        <v>0</v>
      </c>
      <c r="C3" s="2" t="s">
        <v>1</v>
      </c>
      <c r="D3" s="2" t="s">
        <v>2</v>
      </c>
      <c r="E3" s="3" t="s">
        <v>3</v>
      </c>
      <c r="F3" s="2" t="s">
        <v>4</v>
      </c>
      <c r="G3" s="3" t="s">
        <v>5</v>
      </c>
      <c r="H3" s="2" t="s">
        <v>6</v>
      </c>
      <c r="I3" s="3" t="s">
        <v>7</v>
      </c>
      <c r="J3" s="17" t="s">
        <v>20</v>
      </c>
      <c r="K3" s="18" t="s">
        <v>21</v>
      </c>
      <c r="L3" s="18" t="s">
        <v>22</v>
      </c>
      <c r="M3" s="18" t="s">
        <v>23</v>
      </c>
      <c r="N3" s="18" t="s">
        <v>24</v>
      </c>
      <c r="O3" s="18" t="s">
        <v>25</v>
      </c>
    </row>
    <row r="4" spans="2:15" ht="16" x14ac:dyDescent="0.2">
      <c r="B4" s="50" t="s">
        <v>8</v>
      </c>
      <c r="C4" s="57" t="s">
        <v>9</v>
      </c>
      <c r="D4" s="4" t="s">
        <v>10</v>
      </c>
      <c r="E4" s="5">
        <v>93.5</v>
      </c>
      <c r="F4" s="36">
        <v>2.99</v>
      </c>
      <c r="G4" s="5">
        <v>0</v>
      </c>
      <c r="H4" s="36">
        <v>3.5</v>
      </c>
      <c r="I4" s="6">
        <v>0</v>
      </c>
      <c r="J4" s="63">
        <f>ROUND(AVERAGE(E4:E7),1)</f>
        <v>83</v>
      </c>
      <c r="K4" s="27">
        <f>ROUND((E4/100)*200,0)</f>
        <v>187</v>
      </c>
      <c r="L4" s="16">
        <f>ROUND((F4/100)*200,0)</f>
        <v>6</v>
      </c>
      <c r="M4" s="27">
        <f>ROUND((G4/100)*200,0)</f>
        <v>0</v>
      </c>
      <c r="N4" s="16">
        <f>ROUND((H4/100)*200,0)</f>
        <v>7</v>
      </c>
      <c r="O4" s="27">
        <f>ROUND((I4/100)*200,0)</f>
        <v>0</v>
      </c>
    </row>
    <row r="5" spans="2:15" ht="16" x14ac:dyDescent="0.2">
      <c r="B5" s="50"/>
      <c r="C5" s="57"/>
      <c r="D5" s="4" t="s">
        <v>11</v>
      </c>
      <c r="E5" s="5">
        <v>72.5</v>
      </c>
      <c r="F5" s="37">
        <v>20.98</v>
      </c>
      <c r="G5" s="5">
        <v>2.5</v>
      </c>
      <c r="H5" s="37">
        <v>3.5</v>
      </c>
      <c r="I5" s="6">
        <v>0.5</v>
      </c>
      <c r="J5" s="63"/>
      <c r="K5" s="28">
        <f t="shared" ref="K5:O23" si="0">ROUND((E5/100)*200,0)</f>
        <v>145</v>
      </c>
      <c r="L5" s="16">
        <f t="shared" si="0"/>
        <v>42</v>
      </c>
      <c r="M5" s="28">
        <f t="shared" si="0"/>
        <v>5</v>
      </c>
      <c r="N5" s="16">
        <f t="shared" si="0"/>
        <v>7</v>
      </c>
      <c r="O5" s="28">
        <f t="shared" si="0"/>
        <v>1</v>
      </c>
    </row>
    <row r="6" spans="2:15" ht="16" x14ac:dyDescent="0.2">
      <c r="B6" s="50"/>
      <c r="C6" s="57"/>
      <c r="D6" s="4" t="s">
        <v>12</v>
      </c>
      <c r="E6" s="5">
        <v>87.5</v>
      </c>
      <c r="F6" s="37">
        <v>5.5</v>
      </c>
      <c r="G6" s="5">
        <v>4</v>
      </c>
      <c r="H6" s="37">
        <v>3</v>
      </c>
      <c r="I6" s="6">
        <v>0</v>
      </c>
      <c r="J6" s="63"/>
      <c r="K6" s="28">
        <f t="shared" si="0"/>
        <v>175</v>
      </c>
      <c r="L6" s="16">
        <f t="shared" si="0"/>
        <v>11</v>
      </c>
      <c r="M6" s="28">
        <f t="shared" si="0"/>
        <v>8</v>
      </c>
      <c r="N6" s="16">
        <f t="shared" si="0"/>
        <v>6</v>
      </c>
      <c r="O6" s="28">
        <f t="shared" si="0"/>
        <v>0</v>
      </c>
    </row>
    <row r="7" spans="2:15" ht="16" x14ac:dyDescent="0.2">
      <c r="B7" s="50"/>
      <c r="C7" s="57"/>
      <c r="D7" s="4" t="s">
        <v>13</v>
      </c>
      <c r="E7" s="7">
        <v>78.5</v>
      </c>
      <c r="F7" s="38">
        <v>0.5</v>
      </c>
      <c r="G7" s="7">
        <v>12.4</v>
      </c>
      <c r="H7" s="38">
        <v>8.5</v>
      </c>
      <c r="I7" s="8">
        <v>0</v>
      </c>
      <c r="J7" s="63"/>
      <c r="K7" s="28">
        <f t="shared" si="0"/>
        <v>157</v>
      </c>
      <c r="L7" s="16">
        <f t="shared" si="0"/>
        <v>1</v>
      </c>
      <c r="M7" s="28">
        <f t="shared" si="0"/>
        <v>25</v>
      </c>
      <c r="N7" s="16">
        <f t="shared" si="0"/>
        <v>17</v>
      </c>
      <c r="O7" s="28">
        <f t="shared" si="0"/>
        <v>0</v>
      </c>
    </row>
    <row r="8" spans="2:15" ht="16" x14ac:dyDescent="0.2">
      <c r="B8" s="50"/>
      <c r="C8" s="58" t="s">
        <v>10</v>
      </c>
      <c r="D8" s="4" t="s">
        <v>9</v>
      </c>
      <c r="E8" s="5">
        <v>86.5</v>
      </c>
      <c r="F8" s="37">
        <v>9.5</v>
      </c>
      <c r="G8" s="5">
        <v>0</v>
      </c>
      <c r="H8" s="37">
        <v>4</v>
      </c>
      <c r="I8" s="6">
        <v>0</v>
      </c>
      <c r="J8" s="60">
        <f>ROUND(AVERAGE(E8:E11),1)</f>
        <v>80</v>
      </c>
      <c r="K8" s="27">
        <f t="shared" si="0"/>
        <v>173</v>
      </c>
      <c r="L8" s="35">
        <f t="shared" si="0"/>
        <v>19</v>
      </c>
      <c r="M8" s="27">
        <f t="shared" si="0"/>
        <v>0</v>
      </c>
      <c r="N8" s="35">
        <f t="shared" si="0"/>
        <v>8</v>
      </c>
      <c r="O8" s="27">
        <f t="shared" si="0"/>
        <v>0</v>
      </c>
    </row>
    <row r="9" spans="2:15" ht="16" x14ac:dyDescent="0.2">
      <c r="B9" s="50"/>
      <c r="C9" s="58"/>
      <c r="D9" s="4" t="s">
        <v>11</v>
      </c>
      <c r="E9" s="5">
        <v>72</v>
      </c>
      <c r="F9" s="37">
        <v>23</v>
      </c>
      <c r="G9" s="5">
        <v>2</v>
      </c>
      <c r="H9" s="37">
        <v>3</v>
      </c>
      <c r="I9" s="6">
        <v>0</v>
      </c>
      <c r="J9" s="61"/>
      <c r="K9" s="28">
        <f t="shared" si="0"/>
        <v>144</v>
      </c>
      <c r="L9" s="16">
        <f t="shared" si="0"/>
        <v>46</v>
      </c>
      <c r="M9" s="28">
        <f t="shared" si="0"/>
        <v>4</v>
      </c>
      <c r="N9" s="16">
        <f t="shared" si="0"/>
        <v>6</v>
      </c>
      <c r="O9" s="28">
        <f t="shared" si="0"/>
        <v>0</v>
      </c>
    </row>
    <row r="10" spans="2:15" ht="16" x14ac:dyDescent="0.2">
      <c r="B10" s="50"/>
      <c r="C10" s="58"/>
      <c r="D10" s="4" t="s">
        <v>12</v>
      </c>
      <c r="E10" s="5">
        <v>87.5</v>
      </c>
      <c r="F10" s="37">
        <v>7.49</v>
      </c>
      <c r="G10" s="5">
        <v>2.5</v>
      </c>
      <c r="H10" s="37">
        <v>2.5</v>
      </c>
      <c r="I10" s="6">
        <v>0</v>
      </c>
      <c r="J10" s="61"/>
      <c r="K10" s="28">
        <f t="shared" si="0"/>
        <v>175</v>
      </c>
      <c r="L10" s="16">
        <f t="shared" si="0"/>
        <v>15</v>
      </c>
      <c r="M10" s="28">
        <f t="shared" si="0"/>
        <v>5</v>
      </c>
      <c r="N10" s="16">
        <f t="shared" si="0"/>
        <v>5</v>
      </c>
      <c r="O10" s="28">
        <f t="shared" si="0"/>
        <v>0</v>
      </c>
    </row>
    <row r="11" spans="2:15" ht="16" x14ac:dyDescent="0.2">
      <c r="B11" s="50"/>
      <c r="C11" s="58"/>
      <c r="D11" s="4" t="s">
        <v>13</v>
      </c>
      <c r="E11" s="5">
        <v>74</v>
      </c>
      <c r="F11" s="37">
        <v>0</v>
      </c>
      <c r="G11" s="5">
        <v>18.989999999999998</v>
      </c>
      <c r="H11" s="37">
        <v>6.5</v>
      </c>
      <c r="I11" s="6">
        <v>0.5</v>
      </c>
      <c r="J11" s="62"/>
      <c r="K11" s="29">
        <f t="shared" si="0"/>
        <v>148</v>
      </c>
      <c r="L11" s="26">
        <f t="shared" si="0"/>
        <v>0</v>
      </c>
      <c r="M11" s="29">
        <f t="shared" si="0"/>
        <v>38</v>
      </c>
      <c r="N11" s="26">
        <f t="shared" si="0"/>
        <v>13</v>
      </c>
      <c r="O11" s="29">
        <f t="shared" si="0"/>
        <v>1</v>
      </c>
    </row>
    <row r="12" spans="2:15" ht="16" x14ac:dyDescent="0.2">
      <c r="B12" s="50"/>
      <c r="C12" s="59" t="s">
        <v>11</v>
      </c>
      <c r="D12" s="4" t="s">
        <v>10</v>
      </c>
      <c r="E12" s="9">
        <v>88</v>
      </c>
      <c r="F12" s="39">
        <v>5.99</v>
      </c>
      <c r="G12" s="9">
        <v>0</v>
      </c>
      <c r="H12" s="39">
        <v>6</v>
      </c>
      <c r="I12" s="10">
        <v>0</v>
      </c>
      <c r="J12" s="64">
        <f>ROUND(AVERAGE(E12:E15),1)</f>
        <v>85.5</v>
      </c>
      <c r="K12" s="28">
        <f t="shared" si="0"/>
        <v>176</v>
      </c>
      <c r="L12" s="16">
        <f t="shared" si="0"/>
        <v>12</v>
      </c>
      <c r="M12" s="28">
        <f t="shared" si="0"/>
        <v>0</v>
      </c>
      <c r="N12" s="16">
        <f t="shared" si="0"/>
        <v>12</v>
      </c>
      <c r="O12" s="28">
        <f t="shared" si="0"/>
        <v>0</v>
      </c>
    </row>
    <row r="13" spans="2:15" ht="16" x14ac:dyDescent="0.2">
      <c r="B13" s="50"/>
      <c r="C13" s="59"/>
      <c r="D13" s="4" t="s">
        <v>9</v>
      </c>
      <c r="E13" s="5">
        <v>84.5</v>
      </c>
      <c r="F13" s="37">
        <v>6</v>
      </c>
      <c r="G13" s="5">
        <v>0</v>
      </c>
      <c r="H13" s="37">
        <v>9.5</v>
      </c>
      <c r="I13" s="6">
        <v>0</v>
      </c>
      <c r="J13" s="64"/>
      <c r="K13" s="28">
        <f t="shared" si="0"/>
        <v>169</v>
      </c>
      <c r="L13" s="16">
        <f t="shared" si="0"/>
        <v>12</v>
      </c>
      <c r="M13" s="28">
        <f t="shared" si="0"/>
        <v>0</v>
      </c>
      <c r="N13" s="16">
        <f t="shared" si="0"/>
        <v>19</v>
      </c>
      <c r="O13" s="28">
        <f t="shared" si="0"/>
        <v>0</v>
      </c>
    </row>
    <row r="14" spans="2:15" ht="16" x14ac:dyDescent="0.2">
      <c r="B14" s="50"/>
      <c r="C14" s="59"/>
      <c r="D14" s="4" t="s">
        <v>12</v>
      </c>
      <c r="E14" s="5">
        <v>88.5</v>
      </c>
      <c r="F14" s="37">
        <v>3.98</v>
      </c>
      <c r="G14" s="5">
        <v>2.5</v>
      </c>
      <c r="H14" s="37">
        <v>5</v>
      </c>
      <c r="I14" s="6">
        <v>0</v>
      </c>
      <c r="J14" s="64"/>
      <c r="K14" s="28">
        <f t="shared" si="0"/>
        <v>177</v>
      </c>
      <c r="L14" s="16">
        <f t="shared" si="0"/>
        <v>8</v>
      </c>
      <c r="M14" s="28">
        <f t="shared" si="0"/>
        <v>5</v>
      </c>
      <c r="N14" s="16">
        <f t="shared" si="0"/>
        <v>10</v>
      </c>
      <c r="O14" s="28">
        <f t="shared" si="0"/>
        <v>0</v>
      </c>
    </row>
    <row r="15" spans="2:15" ht="16" x14ac:dyDescent="0.2">
      <c r="B15" s="50"/>
      <c r="C15" s="59"/>
      <c r="D15" s="4" t="s">
        <v>13</v>
      </c>
      <c r="E15" s="7">
        <v>81</v>
      </c>
      <c r="F15" s="38">
        <v>0.5</v>
      </c>
      <c r="G15" s="7">
        <v>13.49</v>
      </c>
      <c r="H15" s="38">
        <v>5</v>
      </c>
      <c r="I15" s="8">
        <v>0</v>
      </c>
      <c r="J15" s="64"/>
      <c r="K15" s="28">
        <f t="shared" si="0"/>
        <v>162</v>
      </c>
      <c r="L15" s="16">
        <f t="shared" si="0"/>
        <v>1</v>
      </c>
      <c r="M15" s="28">
        <f t="shared" si="0"/>
        <v>27</v>
      </c>
      <c r="N15" s="16">
        <f t="shared" si="0"/>
        <v>10</v>
      </c>
      <c r="O15" s="28">
        <f t="shared" si="0"/>
        <v>0</v>
      </c>
    </row>
    <row r="16" spans="2:15" ht="16" x14ac:dyDescent="0.2">
      <c r="B16" s="50"/>
      <c r="C16" s="52" t="s">
        <v>12</v>
      </c>
      <c r="D16" s="4" t="s">
        <v>10</v>
      </c>
      <c r="E16" s="5">
        <v>89.5</v>
      </c>
      <c r="F16" s="37">
        <v>4.49</v>
      </c>
      <c r="G16" s="5">
        <v>1</v>
      </c>
      <c r="H16" s="37">
        <v>3</v>
      </c>
      <c r="I16" s="6">
        <v>0</v>
      </c>
      <c r="J16" s="60">
        <f>ROUND(AVERAGE(E16:E19),1)</f>
        <v>81.3</v>
      </c>
      <c r="K16" s="27">
        <f t="shared" si="0"/>
        <v>179</v>
      </c>
      <c r="L16" s="35">
        <f t="shared" si="0"/>
        <v>9</v>
      </c>
      <c r="M16" s="27">
        <f t="shared" si="0"/>
        <v>2</v>
      </c>
      <c r="N16" s="35">
        <f t="shared" si="0"/>
        <v>6</v>
      </c>
      <c r="O16" s="27">
        <f t="shared" si="0"/>
        <v>0</v>
      </c>
    </row>
    <row r="17" spans="2:15" ht="16" x14ac:dyDescent="0.2">
      <c r="B17" s="50"/>
      <c r="C17" s="52"/>
      <c r="D17" s="4" t="s">
        <v>11</v>
      </c>
      <c r="E17" s="5">
        <v>70</v>
      </c>
      <c r="F17" s="37">
        <v>25.49</v>
      </c>
      <c r="G17" s="5">
        <v>2</v>
      </c>
      <c r="H17" s="37">
        <v>2</v>
      </c>
      <c r="I17" s="6">
        <v>0.5</v>
      </c>
      <c r="J17" s="61"/>
      <c r="K17" s="28">
        <f t="shared" si="0"/>
        <v>140</v>
      </c>
      <c r="L17" s="16">
        <f t="shared" si="0"/>
        <v>51</v>
      </c>
      <c r="M17" s="28">
        <f t="shared" si="0"/>
        <v>4</v>
      </c>
      <c r="N17" s="16">
        <f t="shared" si="0"/>
        <v>4</v>
      </c>
      <c r="O17" s="28">
        <f t="shared" si="0"/>
        <v>1</v>
      </c>
    </row>
    <row r="18" spans="2:15" ht="16" x14ac:dyDescent="0.2">
      <c r="B18" s="50"/>
      <c r="C18" s="52"/>
      <c r="D18" s="4" t="s">
        <v>9</v>
      </c>
      <c r="E18" s="5">
        <v>87</v>
      </c>
      <c r="F18" s="37">
        <v>5.99</v>
      </c>
      <c r="G18" s="5">
        <v>0</v>
      </c>
      <c r="H18" s="37">
        <v>7</v>
      </c>
      <c r="I18" s="6">
        <v>0</v>
      </c>
      <c r="J18" s="61"/>
      <c r="K18" s="28">
        <f t="shared" si="0"/>
        <v>174</v>
      </c>
      <c r="L18" s="16">
        <f t="shared" si="0"/>
        <v>12</v>
      </c>
      <c r="M18" s="28">
        <f t="shared" si="0"/>
        <v>0</v>
      </c>
      <c r="N18" s="16">
        <f t="shared" si="0"/>
        <v>14</v>
      </c>
      <c r="O18" s="28">
        <f t="shared" si="0"/>
        <v>0</v>
      </c>
    </row>
    <row r="19" spans="2:15" ht="16" x14ac:dyDescent="0.2">
      <c r="B19" s="50"/>
      <c r="C19" s="52"/>
      <c r="D19" s="4" t="s">
        <v>13</v>
      </c>
      <c r="E19" s="5">
        <v>78.5</v>
      </c>
      <c r="F19" s="37">
        <v>0.5</v>
      </c>
      <c r="G19" s="5">
        <v>15.99</v>
      </c>
      <c r="H19" s="37">
        <v>5</v>
      </c>
      <c r="I19" s="6">
        <v>0</v>
      </c>
      <c r="J19" s="62"/>
      <c r="K19" s="29">
        <f t="shared" si="0"/>
        <v>157</v>
      </c>
      <c r="L19" s="26">
        <f t="shared" si="0"/>
        <v>1</v>
      </c>
      <c r="M19" s="29">
        <f t="shared" si="0"/>
        <v>32</v>
      </c>
      <c r="N19" s="26">
        <f t="shared" si="0"/>
        <v>10</v>
      </c>
      <c r="O19" s="29">
        <f t="shared" si="0"/>
        <v>0</v>
      </c>
    </row>
    <row r="20" spans="2:15" ht="16" x14ac:dyDescent="0.2">
      <c r="B20" s="50"/>
      <c r="C20" s="53" t="s">
        <v>13</v>
      </c>
      <c r="D20" s="4" t="s">
        <v>10</v>
      </c>
      <c r="E20" s="9">
        <v>87</v>
      </c>
      <c r="F20" s="39">
        <v>4.99</v>
      </c>
      <c r="G20" s="9">
        <v>0</v>
      </c>
      <c r="H20" s="39">
        <v>7.5</v>
      </c>
      <c r="I20" s="10">
        <v>0.5</v>
      </c>
      <c r="J20" s="63">
        <f>ROUND(AVERAGE(E20:E23),1)</f>
        <v>79.900000000000006</v>
      </c>
      <c r="K20" s="28">
        <f t="shared" si="0"/>
        <v>174</v>
      </c>
      <c r="L20" s="16">
        <f t="shared" si="0"/>
        <v>10</v>
      </c>
      <c r="M20" s="28">
        <f t="shared" si="0"/>
        <v>0</v>
      </c>
      <c r="N20" s="16">
        <f t="shared" si="0"/>
        <v>15</v>
      </c>
      <c r="O20" s="28">
        <f t="shared" si="0"/>
        <v>1</v>
      </c>
    </row>
    <row r="21" spans="2:15" ht="16" x14ac:dyDescent="0.2">
      <c r="B21" s="50"/>
      <c r="C21" s="53"/>
      <c r="D21" s="4" t="s">
        <v>11</v>
      </c>
      <c r="E21" s="5">
        <v>62</v>
      </c>
      <c r="F21" s="37">
        <v>22.49</v>
      </c>
      <c r="G21" s="5">
        <v>6.5</v>
      </c>
      <c r="H21" s="37">
        <v>8.5</v>
      </c>
      <c r="I21" s="6">
        <v>0.5</v>
      </c>
      <c r="J21" s="63"/>
      <c r="K21" s="28">
        <f t="shared" si="0"/>
        <v>124</v>
      </c>
      <c r="L21" s="16">
        <f t="shared" si="0"/>
        <v>45</v>
      </c>
      <c r="M21" s="28">
        <f t="shared" si="0"/>
        <v>13</v>
      </c>
      <c r="N21" s="16">
        <f t="shared" si="0"/>
        <v>17</v>
      </c>
      <c r="O21" s="28">
        <f t="shared" si="0"/>
        <v>1</v>
      </c>
    </row>
    <row r="22" spans="2:15" ht="16" x14ac:dyDescent="0.2">
      <c r="B22" s="50"/>
      <c r="C22" s="53"/>
      <c r="D22" s="4" t="s">
        <v>12</v>
      </c>
      <c r="E22" s="5">
        <v>85</v>
      </c>
      <c r="F22" s="37">
        <v>8.99</v>
      </c>
      <c r="G22" s="5">
        <v>2</v>
      </c>
      <c r="H22" s="37">
        <v>3.5</v>
      </c>
      <c r="I22" s="6">
        <v>0.5</v>
      </c>
      <c r="J22" s="63"/>
      <c r="K22" s="28">
        <f t="shared" si="0"/>
        <v>170</v>
      </c>
      <c r="L22" s="16">
        <f t="shared" si="0"/>
        <v>18</v>
      </c>
      <c r="M22" s="28">
        <f t="shared" si="0"/>
        <v>4</v>
      </c>
      <c r="N22" s="16">
        <f t="shared" si="0"/>
        <v>7</v>
      </c>
      <c r="O22" s="28">
        <f t="shared" si="0"/>
        <v>1</v>
      </c>
    </row>
    <row r="23" spans="2:15" ht="16" x14ac:dyDescent="0.2">
      <c r="B23" s="50"/>
      <c r="C23" s="53"/>
      <c r="D23" s="4" t="s">
        <v>9</v>
      </c>
      <c r="E23" s="5">
        <v>85.5</v>
      </c>
      <c r="F23" s="37">
        <v>5</v>
      </c>
      <c r="G23" s="5">
        <v>0</v>
      </c>
      <c r="H23" s="37">
        <v>9.5</v>
      </c>
      <c r="I23" s="6">
        <v>0</v>
      </c>
      <c r="J23" s="63"/>
      <c r="K23" s="28">
        <f t="shared" si="0"/>
        <v>171</v>
      </c>
      <c r="L23" s="16">
        <f t="shared" si="0"/>
        <v>10</v>
      </c>
      <c r="M23" s="28">
        <f t="shared" si="0"/>
        <v>0</v>
      </c>
      <c r="N23" s="16">
        <f t="shared" si="0"/>
        <v>19</v>
      </c>
      <c r="O23" s="28">
        <f t="shared" si="0"/>
        <v>0</v>
      </c>
    </row>
    <row r="24" spans="2:15" ht="16" x14ac:dyDescent="0.2">
      <c r="B24" s="50" t="s">
        <v>14</v>
      </c>
      <c r="C24" s="52" t="s">
        <v>12</v>
      </c>
      <c r="D24" s="4" t="s">
        <v>10</v>
      </c>
      <c r="E24" s="9">
        <v>82.8</v>
      </c>
      <c r="F24" s="39">
        <v>6</v>
      </c>
      <c r="G24" s="9">
        <v>0.8</v>
      </c>
      <c r="H24" s="39">
        <v>10</v>
      </c>
      <c r="I24" s="10">
        <v>0.4</v>
      </c>
      <c r="J24" s="60">
        <f>ROUND(AVERAGE(E24:E27),1)</f>
        <v>70.8</v>
      </c>
      <c r="K24" s="43">
        <f>ROUND((E24/100)*249,0)</f>
        <v>206</v>
      </c>
      <c r="L24" s="27">
        <f>ROUND((F24/100)*249,0)</f>
        <v>15</v>
      </c>
      <c r="M24" s="35">
        <f>ROUND((G24/100)*249,0)</f>
        <v>2</v>
      </c>
      <c r="N24" s="27">
        <f>ROUND((H24/100)*249,0)</f>
        <v>25</v>
      </c>
      <c r="O24" s="46">
        <f>ROUND((I24/100)*249,0)</f>
        <v>1</v>
      </c>
    </row>
    <row r="25" spans="2:15" ht="16" x14ac:dyDescent="0.2">
      <c r="B25" s="50"/>
      <c r="C25" s="52"/>
      <c r="D25" s="4" t="s">
        <v>11</v>
      </c>
      <c r="E25" s="5">
        <v>57</v>
      </c>
      <c r="F25" s="37">
        <v>31.72</v>
      </c>
      <c r="G25" s="5">
        <v>4.42</v>
      </c>
      <c r="H25" s="37">
        <v>6.43</v>
      </c>
      <c r="I25" s="6">
        <v>0.4</v>
      </c>
      <c r="J25" s="61"/>
      <c r="K25" s="41">
        <f t="shared" ref="K25:O27" si="1">ROUND((E25/100)*249,0)</f>
        <v>142</v>
      </c>
      <c r="L25" s="28">
        <f t="shared" si="1"/>
        <v>79</v>
      </c>
      <c r="M25" s="16">
        <f t="shared" si="1"/>
        <v>11</v>
      </c>
      <c r="N25" s="28">
        <f t="shared" si="1"/>
        <v>16</v>
      </c>
      <c r="O25" s="42">
        <f t="shared" si="1"/>
        <v>1</v>
      </c>
    </row>
    <row r="26" spans="2:15" ht="16" x14ac:dyDescent="0.2">
      <c r="B26" s="50"/>
      <c r="C26" s="52"/>
      <c r="D26" s="4" t="s">
        <v>9</v>
      </c>
      <c r="E26" s="5">
        <v>70</v>
      </c>
      <c r="F26" s="37">
        <v>10.8</v>
      </c>
      <c r="G26" s="5">
        <v>0</v>
      </c>
      <c r="H26" s="37">
        <v>17.2</v>
      </c>
      <c r="I26" s="6">
        <v>2</v>
      </c>
      <c r="J26" s="61"/>
      <c r="K26" s="41">
        <f t="shared" si="1"/>
        <v>174</v>
      </c>
      <c r="L26" s="28">
        <f t="shared" si="1"/>
        <v>27</v>
      </c>
      <c r="M26" s="16">
        <f t="shared" si="1"/>
        <v>0</v>
      </c>
      <c r="N26" s="28">
        <f t="shared" si="1"/>
        <v>43</v>
      </c>
      <c r="O26" s="42">
        <f t="shared" si="1"/>
        <v>5</v>
      </c>
    </row>
    <row r="27" spans="2:15" ht="16" x14ac:dyDescent="0.2">
      <c r="B27" s="50"/>
      <c r="C27" s="52"/>
      <c r="D27" s="4" t="s">
        <v>13</v>
      </c>
      <c r="E27" s="5">
        <v>73.489999999999995</v>
      </c>
      <c r="F27" s="37">
        <v>6.82</v>
      </c>
      <c r="G27" s="5">
        <v>8.83</v>
      </c>
      <c r="H27" s="37">
        <v>9.23</v>
      </c>
      <c r="I27" s="6">
        <v>0.8</v>
      </c>
      <c r="J27" s="62"/>
      <c r="K27" s="44">
        <f t="shared" si="1"/>
        <v>183</v>
      </c>
      <c r="L27" s="29">
        <f t="shared" si="1"/>
        <v>17</v>
      </c>
      <c r="M27" s="26">
        <f t="shared" si="1"/>
        <v>22</v>
      </c>
      <c r="N27" s="29">
        <f t="shared" si="1"/>
        <v>23</v>
      </c>
      <c r="O27" s="45">
        <f t="shared" si="1"/>
        <v>2</v>
      </c>
    </row>
    <row r="28" spans="2:15" ht="16" x14ac:dyDescent="0.2">
      <c r="B28" s="50"/>
      <c r="C28" s="53" t="s">
        <v>13</v>
      </c>
      <c r="D28" s="4" t="s">
        <v>10</v>
      </c>
      <c r="E28" s="9">
        <v>64.55</v>
      </c>
      <c r="F28" s="39">
        <v>6.37</v>
      </c>
      <c r="G28" s="9">
        <v>1.2</v>
      </c>
      <c r="H28" s="39">
        <v>25.5</v>
      </c>
      <c r="I28" s="10">
        <v>2.39</v>
      </c>
      <c r="J28" s="63">
        <f>ROUND(AVERAGE(E28:E31),1)</f>
        <v>52.2</v>
      </c>
      <c r="K28" s="41">
        <f t="shared" ref="K28:O31" si="2">ROUND((E28/100)*250,0)</f>
        <v>161</v>
      </c>
      <c r="L28" s="41">
        <f t="shared" si="2"/>
        <v>16</v>
      </c>
      <c r="M28" s="41">
        <f t="shared" si="2"/>
        <v>3</v>
      </c>
      <c r="N28" s="28">
        <f t="shared" si="2"/>
        <v>64</v>
      </c>
      <c r="O28" s="28">
        <f t="shared" si="2"/>
        <v>6</v>
      </c>
    </row>
    <row r="29" spans="2:15" ht="16" x14ac:dyDescent="0.2">
      <c r="B29" s="50"/>
      <c r="C29" s="53"/>
      <c r="D29" s="4" t="s">
        <v>11</v>
      </c>
      <c r="E29" s="5">
        <v>43</v>
      </c>
      <c r="F29" s="37">
        <v>25.9</v>
      </c>
      <c r="G29" s="5">
        <v>5.98</v>
      </c>
      <c r="H29" s="37">
        <v>23.9</v>
      </c>
      <c r="I29" s="6">
        <v>1.2</v>
      </c>
      <c r="J29" s="63"/>
      <c r="K29" s="41">
        <f t="shared" si="2"/>
        <v>108</v>
      </c>
      <c r="L29" s="41">
        <f t="shared" si="2"/>
        <v>65</v>
      </c>
      <c r="M29" s="41">
        <f t="shared" si="2"/>
        <v>15</v>
      </c>
      <c r="N29" s="28">
        <f t="shared" si="2"/>
        <v>60</v>
      </c>
      <c r="O29" s="28">
        <f t="shared" si="2"/>
        <v>3</v>
      </c>
    </row>
    <row r="30" spans="2:15" ht="16" x14ac:dyDescent="0.2">
      <c r="B30" s="50"/>
      <c r="C30" s="53"/>
      <c r="D30" s="4" t="s">
        <v>12</v>
      </c>
      <c r="E30" s="5">
        <v>56.4</v>
      </c>
      <c r="F30" s="37">
        <v>16</v>
      </c>
      <c r="G30" s="5">
        <v>11.2</v>
      </c>
      <c r="H30" s="37">
        <v>15.2</v>
      </c>
      <c r="I30" s="6">
        <v>1.2</v>
      </c>
      <c r="J30" s="63"/>
      <c r="K30" s="41">
        <f t="shared" si="2"/>
        <v>141</v>
      </c>
      <c r="L30" s="41">
        <f t="shared" si="2"/>
        <v>40</v>
      </c>
      <c r="M30" s="41">
        <f t="shared" si="2"/>
        <v>28</v>
      </c>
      <c r="N30" s="28">
        <f t="shared" si="2"/>
        <v>38</v>
      </c>
      <c r="O30" s="28">
        <f t="shared" si="2"/>
        <v>3</v>
      </c>
    </row>
    <row r="31" spans="2:15" ht="16" x14ac:dyDescent="0.2">
      <c r="B31" s="51"/>
      <c r="C31" s="54"/>
      <c r="D31" s="12" t="s">
        <v>9</v>
      </c>
      <c r="E31" s="5">
        <v>44.88</v>
      </c>
      <c r="F31" s="49">
        <v>11.42</v>
      </c>
      <c r="G31" s="5">
        <v>0.4</v>
      </c>
      <c r="H31" s="49">
        <v>42.12</v>
      </c>
      <c r="I31" s="6">
        <v>1.18</v>
      </c>
      <c r="J31" s="63"/>
      <c r="K31" s="28">
        <f t="shared" si="2"/>
        <v>112</v>
      </c>
      <c r="L31" s="16">
        <f t="shared" si="2"/>
        <v>29</v>
      </c>
      <c r="M31" s="28">
        <f t="shared" si="2"/>
        <v>1</v>
      </c>
      <c r="N31" s="16">
        <f t="shared" si="2"/>
        <v>105</v>
      </c>
      <c r="O31" s="28">
        <f t="shared" si="2"/>
        <v>3</v>
      </c>
    </row>
    <row r="32" spans="2:15" ht="16" x14ac:dyDescent="0.2">
      <c r="B32" s="13" t="s">
        <v>15</v>
      </c>
      <c r="C32" s="11" t="s">
        <v>13</v>
      </c>
      <c r="D32" s="4" t="s">
        <v>12</v>
      </c>
      <c r="E32" s="4">
        <v>79.27</v>
      </c>
      <c r="F32" s="48">
        <v>1.22</v>
      </c>
      <c r="G32" s="4">
        <v>2.44</v>
      </c>
      <c r="H32" s="48">
        <v>16.46</v>
      </c>
      <c r="I32" s="4">
        <v>0.6</v>
      </c>
      <c r="J32" s="33">
        <f>ROUND(E32,1)</f>
        <v>79.3</v>
      </c>
      <c r="K32" s="34">
        <f>ROUND((E32/100)*164,0)</f>
        <v>130</v>
      </c>
      <c r="L32" s="31">
        <f>ROUND((F32/100)*164,0)</f>
        <v>2</v>
      </c>
      <c r="M32" s="34">
        <f>ROUND((G32/100)*164,0)</f>
        <v>4</v>
      </c>
      <c r="N32" s="31">
        <f>ROUND((H32/100)*164,0)</f>
        <v>27</v>
      </c>
      <c r="O32" s="34">
        <f>ROUND((I32/100)*164,0)</f>
        <v>1</v>
      </c>
    </row>
    <row r="33" spans="2:15" ht="16" x14ac:dyDescent="0.2">
      <c r="B33" s="18" t="s">
        <v>26</v>
      </c>
      <c r="C33" s="25" t="s">
        <v>16</v>
      </c>
      <c r="D33" s="14" t="s">
        <v>13</v>
      </c>
      <c r="E33" s="15">
        <v>13.6</v>
      </c>
      <c r="F33" s="37">
        <v>86.4</v>
      </c>
      <c r="G33" s="5">
        <v>0</v>
      </c>
      <c r="H33" s="37">
        <v>0</v>
      </c>
      <c r="I33" s="6">
        <v>0</v>
      </c>
      <c r="J33" s="16">
        <f>ROUND(E33,1)</f>
        <v>13.6</v>
      </c>
      <c r="K33" s="28">
        <f>ROUND((E33/100)*22,0)</f>
        <v>3</v>
      </c>
      <c r="L33" s="16">
        <f>ROUND((F33/100)*22,0)</f>
        <v>19</v>
      </c>
      <c r="M33" s="28">
        <f>ROUND((G33/100)*22,0)</f>
        <v>0</v>
      </c>
      <c r="N33" s="16">
        <f>ROUND((H33/100)*22,0)</f>
        <v>0</v>
      </c>
      <c r="O33" s="28">
        <f>ROUND((I33/100)*22,0)</f>
        <v>0</v>
      </c>
    </row>
    <row r="34" spans="2:15" ht="16" x14ac:dyDescent="0.2">
      <c r="B34" s="30" t="s">
        <v>17</v>
      </c>
      <c r="C34" s="47" t="s">
        <v>13</v>
      </c>
      <c r="D34" s="40" t="s">
        <v>12</v>
      </c>
      <c r="E34" s="5">
        <v>0</v>
      </c>
      <c r="F34" s="37">
        <v>100</v>
      </c>
      <c r="G34" s="5">
        <v>0</v>
      </c>
      <c r="H34" s="37">
        <v>0</v>
      </c>
      <c r="I34" s="6">
        <v>0</v>
      </c>
      <c r="J34" s="16">
        <f>ROUND(E34,1)</f>
        <v>0</v>
      </c>
      <c r="K34" s="28">
        <f>ROUND((E34/100)*15,0)</f>
        <v>0</v>
      </c>
      <c r="L34" s="16">
        <f>ROUND((F34/100)*15,0)</f>
        <v>15</v>
      </c>
      <c r="M34" s="28">
        <f>ROUND((G34/100)*15,0)</f>
        <v>0</v>
      </c>
      <c r="N34" s="16">
        <f>ROUND((H34/100)*15,0)</f>
        <v>0</v>
      </c>
      <c r="O34" s="28">
        <f>ROUND((I34/100)*15,0)</f>
        <v>0</v>
      </c>
    </row>
    <row r="35" spans="2:15" x14ac:dyDescent="0.2">
      <c r="B35" s="55" t="s">
        <v>18</v>
      </c>
      <c r="C35" s="56"/>
      <c r="D35" s="56"/>
      <c r="E35" s="34">
        <f>AVERAGE(AVERAGE(E4:E23),AVERAGE(E24:E31),E32,E33,E34)</f>
        <v>47.261999999999993</v>
      </c>
      <c r="F35" s="34">
        <f t="shared" ref="F35:I35" si="3">AVERAGE(AVERAGE(F4:F23),AVERAGE(F24:F31),F32,F33,F34)</f>
        <v>42.04345</v>
      </c>
      <c r="G35" s="31">
        <f t="shared" si="3"/>
        <v>2.1674499999999997</v>
      </c>
      <c r="H35" s="34">
        <f t="shared" si="3"/>
        <v>8.0914999999999999</v>
      </c>
      <c r="I35" s="31">
        <f t="shared" si="3"/>
        <v>0.38924999999999998</v>
      </c>
      <c r="J35" s="34">
        <f>ROUND(AVERAGE(AVERAGE(J4:J23),AVERAGE(J24:J31),J32,J33,J34),1)</f>
        <v>47.3</v>
      </c>
      <c r="K35" s="34">
        <f>ROUND(AVERAGE(K4:K34),0)</f>
        <v>150</v>
      </c>
      <c r="L35" s="34">
        <f t="shared" ref="L35:O35" si="4">ROUND(AVERAGE(L4:L34),0)</f>
        <v>21</v>
      </c>
      <c r="M35" s="34">
        <f t="shared" si="4"/>
        <v>8</v>
      </c>
      <c r="N35" s="34">
        <f t="shared" si="4"/>
        <v>20</v>
      </c>
      <c r="O35" s="34">
        <f t="shared" si="4"/>
        <v>1</v>
      </c>
    </row>
  </sheetData>
  <mergeCells count="17">
    <mergeCell ref="B24:B31"/>
    <mergeCell ref="C24:C27"/>
    <mergeCell ref="C28:C31"/>
    <mergeCell ref="B35:D35"/>
    <mergeCell ref="B4:B23"/>
    <mergeCell ref="C4:C7"/>
    <mergeCell ref="C8:C11"/>
    <mergeCell ref="C12:C15"/>
    <mergeCell ref="C16:C19"/>
    <mergeCell ref="C20:C23"/>
    <mergeCell ref="J24:J27"/>
    <mergeCell ref="J28:J31"/>
    <mergeCell ref="J4:J7"/>
    <mergeCell ref="J8:J11"/>
    <mergeCell ref="J12:J15"/>
    <mergeCell ref="J16:J19"/>
    <mergeCell ref="J20:J23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590A-AF70-ED4A-92B8-52CEB86F4341}">
  <dimension ref="B3:O35"/>
  <sheetViews>
    <sheetView workbookViewId="0">
      <selection activeCell="E39" sqref="E39"/>
    </sheetView>
  </sheetViews>
  <sheetFormatPr baseColWidth="10" defaultColWidth="8.83203125" defaultRowHeight="15" x14ac:dyDescent="0.2"/>
  <cols>
    <col min="2" max="2" width="11.5" customWidth="1"/>
    <col min="3" max="3" width="16.5" customWidth="1"/>
    <col min="4" max="4" width="12.5" customWidth="1"/>
    <col min="5" max="5" width="18.6640625" customWidth="1"/>
    <col min="6" max="6" width="26.33203125" customWidth="1"/>
    <col min="7" max="7" width="24.1640625" customWidth="1"/>
    <col min="8" max="8" width="22.83203125" customWidth="1"/>
    <col min="9" max="9" width="21.5" customWidth="1"/>
    <col min="10" max="10" width="17" customWidth="1"/>
    <col min="11" max="11" width="16.5" customWidth="1"/>
    <col min="12" max="12" width="18.5" customWidth="1"/>
    <col min="13" max="13" width="17.5" customWidth="1"/>
    <col min="14" max="14" width="13.6640625" customWidth="1"/>
    <col min="15" max="15" width="19.83203125" customWidth="1"/>
  </cols>
  <sheetData>
    <row r="3" spans="2:15" ht="16" x14ac:dyDescent="0.2">
      <c r="B3" s="1" t="s">
        <v>0</v>
      </c>
      <c r="C3" s="2" t="s">
        <v>1</v>
      </c>
      <c r="D3" s="2" t="s">
        <v>2</v>
      </c>
      <c r="E3" s="3" t="s">
        <v>3</v>
      </c>
      <c r="F3" s="2" t="s">
        <v>4</v>
      </c>
      <c r="G3" s="3" t="s">
        <v>5</v>
      </c>
      <c r="H3" s="2" t="s">
        <v>6</v>
      </c>
      <c r="I3" s="3" t="s">
        <v>7</v>
      </c>
      <c r="J3" s="17" t="s">
        <v>20</v>
      </c>
      <c r="K3" s="18" t="s">
        <v>21</v>
      </c>
      <c r="L3" s="18" t="s">
        <v>22</v>
      </c>
      <c r="M3" s="18" t="s">
        <v>23</v>
      </c>
      <c r="N3" s="18" t="s">
        <v>24</v>
      </c>
      <c r="O3" s="18" t="s">
        <v>25</v>
      </c>
    </row>
    <row r="4" spans="2:15" ht="16" x14ac:dyDescent="0.2">
      <c r="B4" s="50" t="s">
        <v>8</v>
      </c>
      <c r="C4" s="57" t="s">
        <v>9</v>
      </c>
      <c r="D4" s="4" t="s">
        <v>10</v>
      </c>
      <c r="E4" s="5">
        <v>45.5</v>
      </c>
      <c r="F4" s="36">
        <v>20</v>
      </c>
      <c r="G4" s="5">
        <v>0</v>
      </c>
      <c r="H4" s="36">
        <v>33</v>
      </c>
      <c r="I4" s="6">
        <v>1.5</v>
      </c>
      <c r="J4" s="63">
        <f>ROUND(AVERAGE(E4:E7),1)</f>
        <v>14.9</v>
      </c>
      <c r="K4" s="27">
        <f>ROUND((E4/100)*200,0)</f>
        <v>91</v>
      </c>
      <c r="L4" s="16">
        <f>ROUND((F4/100)*200,0)</f>
        <v>40</v>
      </c>
      <c r="M4" s="27">
        <f>ROUND((G4/100)*200,0)</f>
        <v>0</v>
      </c>
      <c r="N4" s="16">
        <f>ROUND((H4/100)*200,0)</f>
        <v>66</v>
      </c>
      <c r="O4" s="27">
        <f>ROUND((I4/100)*200,0)</f>
        <v>3</v>
      </c>
    </row>
    <row r="5" spans="2:15" ht="16" x14ac:dyDescent="0.2">
      <c r="B5" s="50"/>
      <c r="C5" s="57"/>
      <c r="D5" s="4" t="s">
        <v>11</v>
      </c>
      <c r="E5" s="5">
        <v>5</v>
      </c>
      <c r="F5" s="37">
        <v>94</v>
      </c>
      <c r="G5" s="5">
        <v>0.5</v>
      </c>
      <c r="H5" s="37">
        <v>0.5</v>
      </c>
      <c r="I5" s="6">
        <v>0</v>
      </c>
      <c r="J5" s="63"/>
      <c r="K5" s="28">
        <f t="shared" ref="K5:O23" si="0">ROUND((E5/100)*200,0)</f>
        <v>10</v>
      </c>
      <c r="L5" s="16">
        <f t="shared" si="0"/>
        <v>188</v>
      </c>
      <c r="M5" s="28">
        <f t="shared" si="0"/>
        <v>1</v>
      </c>
      <c r="N5" s="16">
        <f t="shared" si="0"/>
        <v>1</v>
      </c>
      <c r="O5" s="28">
        <f t="shared" si="0"/>
        <v>0</v>
      </c>
    </row>
    <row r="6" spans="2:15" ht="16" x14ac:dyDescent="0.2">
      <c r="B6" s="50"/>
      <c r="C6" s="57"/>
      <c r="D6" s="4" t="s">
        <v>12</v>
      </c>
      <c r="E6" s="5">
        <v>8.5</v>
      </c>
      <c r="F6" s="37">
        <v>83</v>
      </c>
      <c r="G6" s="5">
        <v>2</v>
      </c>
      <c r="H6" s="37">
        <v>6.5</v>
      </c>
      <c r="I6" s="6">
        <v>0</v>
      </c>
      <c r="J6" s="63"/>
      <c r="K6" s="28">
        <f t="shared" si="0"/>
        <v>17</v>
      </c>
      <c r="L6" s="16">
        <f t="shared" si="0"/>
        <v>166</v>
      </c>
      <c r="M6" s="28">
        <f t="shared" si="0"/>
        <v>4</v>
      </c>
      <c r="N6" s="16">
        <f t="shared" si="0"/>
        <v>13</v>
      </c>
      <c r="O6" s="28">
        <f t="shared" si="0"/>
        <v>0</v>
      </c>
    </row>
    <row r="7" spans="2:15" ht="16" x14ac:dyDescent="0.2">
      <c r="B7" s="50"/>
      <c r="C7" s="57"/>
      <c r="D7" s="4" t="s">
        <v>13</v>
      </c>
      <c r="E7" s="7">
        <v>0.5</v>
      </c>
      <c r="F7" s="38">
        <v>43.5</v>
      </c>
      <c r="G7" s="7">
        <v>16</v>
      </c>
      <c r="H7" s="38">
        <v>40</v>
      </c>
      <c r="I7" s="8">
        <v>0</v>
      </c>
      <c r="J7" s="63"/>
      <c r="K7" s="28">
        <f t="shared" si="0"/>
        <v>1</v>
      </c>
      <c r="L7" s="16">
        <f t="shared" si="0"/>
        <v>87</v>
      </c>
      <c r="M7" s="28">
        <f t="shared" si="0"/>
        <v>32</v>
      </c>
      <c r="N7" s="16">
        <f t="shared" si="0"/>
        <v>80</v>
      </c>
      <c r="O7" s="28">
        <f t="shared" si="0"/>
        <v>0</v>
      </c>
    </row>
    <row r="8" spans="2:15" ht="16" x14ac:dyDescent="0.2">
      <c r="B8" s="50"/>
      <c r="C8" s="58" t="s">
        <v>10</v>
      </c>
      <c r="D8" s="4" t="s">
        <v>9</v>
      </c>
      <c r="E8" s="5">
        <v>25</v>
      </c>
      <c r="F8" s="37">
        <v>67.5</v>
      </c>
      <c r="G8" s="5">
        <v>0</v>
      </c>
      <c r="H8" s="37">
        <v>7.5</v>
      </c>
      <c r="I8" s="6">
        <v>0</v>
      </c>
      <c r="J8" s="60">
        <f>ROUND(AVERAGE(E8:E11),1)</f>
        <v>9.5</v>
      </c>
      <c r="K8" s="27">
        <f t="shared" si="0"/>
        <v>50</v>
      </c>
      <c r="L8" s="35">
        <f t="shared" si="0"/>
        <v>135</v>
      </c>
      <c r="M8" s="27">
        <f t="shared" si="0"/>
        <v>0</v>
      </c>
      <c r="N8" s="35">
        <f t="shared" si="0"/>
        <v>15</v>
      </c>
      <c r="O8" s="27">
        <f t="shared" si="0"/>
        <v>0</v>
      </c>
    </row>
    <row r="9" spans="2:15" ht="16" x14ac:dyDescent="0.2">
      <c r="B9" s="50"/>
      <c r="C9" s="58"/>
      <c r="D9" s="4" t="s">
        <v>11</v>
      </c>
      <c r="E9" s="5">
        <v>0</v>
      </c>
      <c r="F9" s="37">
        <v>99.5</v>
      </c>
      <c r="G9" s="5">
        <v>0</v>
      </c>
      <c r="H9" s="37">
        <v>0.5</v>
      </c>
      <c r="I9" s="6">
        <v>0</v>
      </c>
      <c r="J9" s="61"/>
      <c r="K9" s="28">
        <f t="shared" si="0"/>
        <v>0</v>
      </c>
      <c r="L9" s="16">
        <f t="shared" si="0"/>
        <v>199</v>
      </c>
      <c r="M9" s="28">
        <f t="shared" si="0"/>
        <v>0</v>
      </c>
      <c r="N9" s="16">
        <f t="shared" si="0"/>
        <v>1</v>
      </c>
      <c r="O9" s="28">
        <f t="shared" si="0"/>
        <v>0</v>
      </c>
    </row>
    <row r="10" spans="2:15" ht="16" x14ac:dyDescent="0.2">
      <c r="B10" s="50"/>
      <c r="C10" s="58"/>
      <c r="D10" s="4" t="s">
        <v>12</v>
      </c>
      <c r="E10" s="5">
        <v>11</v>
      </c>
      <c r="F10" s="37">
        <v>77.5</v>
      </c>
      <c r="G10" s="5">
        <v>4</v>
      </c>
      <c r="H10" s="37">
        <v>7.5</v>
      </c>
      <c r="I10" s="6">
        <v>0</v>
      </c>
      <c r="J10" s="61"/>
      <c r="K10" s="28">
        <f t="shared" si="0"/>
        <v>22</v>
      </c>
      <c r="L10" s="16">
        <f t="shared" si="0"/>
        <v>155</v>
      </c>
      <c r="M10" s="28">
        <f t="shared" si="0"/>
        <v>8</v>
      </c>
      <c r="N10" s="16">
        <f t="shared" si="0"/>
        <v>15</v>
      </c>
      <c r="O10" s="28">
        <f t="shared" si="0"/>
        <v>0</v>
      </c>
    </row>
    <row r="11" spans="2:15" ht="16" x14ac:dyDescent="0.2">
      <c r="B11" s="50"/>
      <c r="C11" s="58"/>
      <c r="D11" s="4" t="s">
        <v>13</v>
      </c>
      <c r="E11" s="5">
        <v>2</v>
      </c>
      <c r="F11" s="37">
        <v>68.5</v>
      </c>
      <c r="G11" s="5">
        <v>11</v>
      </c>
      <c r="H11" s="37">
        <v>18.5</v>
      </c>
      <c r="I11" s="6">
        <v>0</v>
      </c>
      <c r="J11" s="62"/>
      <c r="K11" s="29">
        <f t="shared" si="0"/>
        <v>4</v>
      </c>
      <c r="L11" s="26">
        <f t="shared" si="0"/>
        <v>137</v>
      </c>
      <c r="M11" s="29">
        <f t="shared" si="0"/>
        <v>22</v>
      </c>
      <c r="N11" s="26">
        <f t="shared" si="0"/>
        <v>37</v>
      </c>
      <c r="O11" s="29">
        <f t="shared" si="0"/>
        <v>0</v>
      </c>
    </row>
    <row r="12" spans="2:15" ht="16" x14ac:dyDescent="0.2">
      <c r="B12" s="50"/>
      <c r="C12" s="59" t="s">
        <v>11</v>
      </c>
      <c r="D12" s="4" t="s">
        <v>10</v>
      </c>
      <c r="E12" s="9">
        <v>31.5</v>
      </c>
      <c r="F12" s="39">
        <v>55</v>
      </c>
      <c r="G12" s="9">
        <v>0</v>
      </c>
      <c r="H12" s="39">
        <v>13.5</v>
      </c>
      <c r="I12" s="10">
        <v>0</v>
      </c>
      <c r="J12" s="64">
        <f>ROUND(AVERAGE(E12:E15),1)</f>
        <v>16.899999999999999</v>
      </c>
      <c r="K12" s="28">
        <f t="shared" si="0"/>
        <v>63</v>
      </c>
      <c r="L12" s="16">
        <f t="shared" si="0"/>
        <v>110</v>
      </c>
      <c r="M12" s="28">
        <f t="shared" si="0"/>
        <v>0</v>
      </c>
      <c r="N12" s="16">
        <f t="shared" si="0"/>
        <v>27</v>
      </c>
      <c r="O12" s="28">
        <f t="shared" si="0"/>
        <v>0</v>
      </c>
    </row>
    <row r="13" spans="2:15" ht="16" x14ac:dyDescent="0.2">
      <c r="B13" s="50"/>
      <c r="C13" s="59"/>
      <c r="D13" s="4" t="s">
        <v>9</v>
      </c>
      <c r="E13" s="5">
        <v>19.5</v>
      </c>
      <c r="F13" s="37">
        <v>60.5</v>
      </c>
      <c r="G13" s="5">
        <v>0</v>
      </c>
      <c r="H13" s="37">
        <v>19.5</v>
      </c>
      <c r="I13" s="6">
        <v>0.5</v>
      </c>
      <c r="J13" s="64"/>
      <c r="K13" s="28">
        <f t="shared" si="0"/>
        <v>39</v>
      </c>
      <c r="L13" s="16">
        <f t="shared" si="0"/>
        <v>121</v>
      </c>
      <c r="M13" s="28">
        <f t="shared" si="0"/>
        <v>0</v>
      </c>
      <c r="N13" s="16">
        <f t="shared" si="0"/>
        <v>39</v>
      </c>
      <c r="O13" s="28">
        <f t="shared" si="0"/>
        <v>1</v>
      </c>
    </row>
    <row r="14" spans="2:15" ht="16" x14ac:dyDescent="0.2">
      <c r="B14" s="50"/>
      <c r="C14" s="59"/>
      <c r="D14" s="4" t="s">
        <v>12</v>
      </c>
      <c r="E14" s="5">
        <v>14</v>
      </c>
      <c r="F14" s="37">
        <v>75</v>
      </c>
      <c r="G14" s="5">
        <v>7</v>
      </c>
      <c r="H14" s="37">
        <v>3.5</v>
      </c>
      <c r="I14" s="6">
        <v>0.5</v>
      </c>
      <c r="J14" s="64"/>
      <c r="K14" s="28">
        <f t="shared" si="0"/>
        <v>28</v>
      </c>
      <c r="L14" s="16">
        <f t="shared" si="0"/>
        <v>150</v>
      </c>
      <c r="M14" s="28">
        <f t="shared" si="0"/>
        <v>14</v>
      </c>
      <c r="N14" s="16">
        <f t="shared" si="0"/>
        <v>7</v>
      </c>
      <c r="O14" s="28">
        <f t="shared" si="0"/>
        <v>1</v>
      </c>
    </row>
    <row r="15" spans="2:15" ht="16" x14ac:dyDescent="0.2">
      <c r="B15" s="50"/>
      <c r="C15" s="59"/>
      <c r="D15" s="4" t="s">
        <v>13</v>
      </c>
      <c r="E15" s="7">
        <v>2.5</v>
      </c>
      <c r="F15" s="38">
        <v>31</v>
      </c>
      <c r="G15" s="7">
        <v>7.5</v>
      </c>
      <c r="H15" s="38">
        <v>59</v>
      </c>
      <c r="I15" s="8">
        <v>0</v>
      </c>
      <c r="J15" s="64"/>
      <c r="K15" s="28">
        <f t="shared" si="0"/>
        <v>5</v>
      </c>
      <c r="L15" s="16">
        <f t="shared" si="0"/>
        <v>62</v>
      </c>
      <c r="M15" s="28">
        <f t="shared" si="0"/>
        <v>15</v>
      </c>
      <c r="N15" s="16">
        <f t="shared" si="0"/>
        <v>118</v>
      </c>
      <c r="O15" s="28">
        <f t="shared" si="0"/>
        <v>0</v>
      </c>
    </row>
    <row r="16" spans="2:15" ht="16" x14ac:dyDescent="0.2">
      <c r="B16" s="50"/>
      <c r="C16" s="52" t="s">
        <v>12</v>
      </c>
      <c r="D16" s="4" t="s">
        <v>10</v>
      </c>
      <c r="E16" s="5">
        <v>34</v>
      </c>
      <c r="F16" s="37">
        <v>47</v>
      </c>
      <c r="G16" s="5">
        <v>0</v>
      </c>
      <c r="H16" s="37">
        <v>18.5</v>
      </c>
      <c r="I16" s="6">
        <v>0.5</v>
      </c>
      <c r="J16" s="60">
        <f>ROUND(AVERAGE(E16:E19),1)</f>
        <v>13.9</v>
      </c>
      <c r="K16" s="27">
        <f t="shared" si="0"/>
        <v>68</v>
      </c>
      <c r="L16" s="35">
        <f t="shared" si="0"/>
        <v>94</v>
      </c>
      <c r="M16" s="27">
        <f t="shared" si="0"/>
        <v>0</v>
      </c>
      <c r="N16" s="35">
        <f t="shared" si="0"/>
        <v>37</v>
      </c>
      <c r="O16" s="27">
        <f t="shared" si="0"/>
        <v>1</v>
      </c>
    </row>
    <row r="17" spans="2:15" ht="16" x14ac:dyDescent="0.2">
      <c r="B17" s="50"/>
      <c r="C17" s="52"/>
      <c r="D17" s="4" t="s">
        <v>11</v>
      </c>
      <c r="E17" s="5">
        <v>0</v>
      </c>
      <c r="F17" s="37">
        <v>100</v>
      </c>
      <c r="G17" s="5">
        <v>0</v>
      </c>
      <c r="H17" s="37">
        <v>0</v>
      </c>
      <c r="I17" s="6">
        <v>0</v>
      </c>
      <c r="J17" s="61"/>
      <c r="K17" s="28">
        <f t="shared" si="0"/>
        <v>0</v>
      </c>
      <c r="L17" s="16">
        <f t="shared" si="0"/>
        <v>200</v>
      </c>
      <c r="M17" s="28">
        <f t="shared" si="0"/>
        <v>0</v>
      </c>
      <c r="N17" s="16">
        <f t="shared" si="0"/>
        <v>0</v>
      </c>
      <c r="O17" s="28">
        <f t="shared" si="0"/>
        <v>0</v>
      </c>
    </row>
    <row r="18" spans="2:15" ht="16" x14ac:dyDescent="0.2">
      <c r="B18" s="50"/>
      <c r="C18" s="52"/>
      <c r="D18" s="4" t="s">
        <v>9</v>
      </c>
      <c r="E18" s="5">
        <v>20</v>
      </c>
      <c r="F18" s="37">
        <v>58.5</v>
      </c>
      <c r="G18" s="5">
        <v>0.5</v>
      </c>
      <c r="H18" s="37">
        <v>20.5</v>
      </c>
      <c r="I18" s="6">
        <v>0.5</v>
      </c>
      <c r="J18" s="61"/>
      <c r="K18" s="28">
        <f t="shared" si="0"/>
        <v>40</v>
      </c>
      <c r="L18" s="16">
        <f t="shared" si="0"/>
        <v>117</v>
      </c>
      <c r="M18" s="28">
        <f t="shared" si="0"/>
        <v>1</v>
      </c>
      <c r="N18" s="16">
        <f t="shared" si="0"/>
        <v>41</v>
      </c>
      <c r="O18" s="28">
        <f t="shared" si="0"/>
        <v>1</v>
      </c>
    </row>
    <row r="19" spans="2:15" ht="16" x14ac:dyDescent="0.2">
      <c r="B19" s="50"/>
      <c r="C19" s="52"/>
      <c r="D19" s="4" t="s">
        <v>13</v>
      </c>
      <c r="E19" s="5">
        <v>1.5</v>
      </c>
      <c r="F19" s="37">
        <v>29</v>
      </c>
      <c r="G19" s="5">
        <v>36.5</v>
      </c>
      <c r="H19" s="37">
        <v>32.5</v>
      </c>
      <c r="I19" s="6">
        <v>0.5</v>
      </c>
      <c r="J19" s="62"/>
      <c r="K19" s="29">
        <f t="shared" si="0"/>
        <v>3</v>
      </c>
      <c r="L19" s="26">
        <f t="shared" si="0"/>
        <v>58</v>
      </c>
      <c r="M19" s="29">
        <f t="shared" si="0"/>
        <v>73</v>
      </c>
      <c r="N19" s="26">
        <f t="shared" si="0"/>
        <v>65</v>
      </c>
      <c r="O19" s="29">
        <f t="shared" si="0"/>
        <v>1</v>
      </c>
    </row>
    <row r="20" spans="2:15" ht="16" x14ac:dyDescent="0.2">
      <c r="B20" s="50"/>
      <c r="C20" s="53" t="s">
        <v>13</v>
      </c>
      <c r="D20" s="4" t="s">
        <v>10</v>
      </c>
      <c r="E20" s="9">
        <v>24</v>
      </c>
      <c r="F20" s="39">
        <v>55</v>
      </c>
      <c r="G20" s="9">
        <v>0.5</v>
      </c>
      <c r="H20" s="39">
        <v>20.5</v>
      </c>
      <c r="I20" s="10">
        <v>0</v>
      </c>
      <c r="J20" s="63">
        <f>ROUND(AVERAGE(E20:E23),1)</f>
        <v>11</v>
      </c>
      <c r="K20" s="28">
        <f t="shared" si="0"/>
        <v>48</v>
      </c>
      <c r="L20" s="16">
        <f t="shared" si="0"/>
        <v>110</v>
      </c>
      <c r="M20" s="28">
        <f t="shared" si="0"/>
        <v>1</v>
      </c>
      <c r="N20" s="16">
        <f t="shared" si="0"/>
        <v>41</v>
      </c>
      <c r="O20" s="28">
        <f t="shared" si="0"/>
        <v>0</v>
      </c>
    </row>
    <row r="21" spans="2:15" ht="16" x14ac:dyDescent="0.2">
      <c r="B21" s="50"/>
      <c r="C21" s="53"/>
      <c r="D21" s="4" t="s">
        <v>11</v>
      </c>
      <c r="E21" s="5">
        <v>0</v>
      </c>
      <c r="F21" s="37">
        <v>99.5</v>
      </c>
      <c r="G21" s="5">
        <v>0</v>
      </c>
      <c r="H21" s="37">
        <v>0.5</v>
      </c>
      <c r="I21" s="6">
        <v>0</v>
      </c>
      <c r="J21" s="63"/>
      <c r="K21" s="28">
        <f t="shared" si="0"/>
        <v>0</v>
      </c>
      <c r="L21" s="16">
        <f t="shared" si="0"/>
        <v>199</v>
      </c>
      <c r="M21" s="28">
        <f t="shared" si="0"/>
        <v>0</v>
      </c>
      <c r="N21" s="16">
        <f t="shared" si="0"/>
        <v>1</v>
      </c>
      <c r="O21" s="28">
        <f t="shared" si="0"/>
        <v>0</v>
      </c>
    </row>
    <row r="22" spans="2:15" ht="16" x14ac:dyDescent="0.2">
      <c r="B22" s="50"/>
      <c r="C22" s="53"/>
      <c r="D22" s="4" t="s">
        <v>12</v>
      </c>
      <c r="E22" s="5">
        <v>5</v>
      </c>
      <c r="F22" s="37">
        <v>86</v>
      </c>
      <c r="G22" s="5">
        <v>8</v>
      </c>
      <c r="H22" s="37">
        <v>1</v>
      </c>
      <c r="I22" s="6">
        <v>0</v>
      </c>
      <c r="J22" s="63"/>
      <c r="K22" s="28">
        <f t="shared" si="0"/>
        <v>10</v>
      </c>
      <c r="L22" s="16">
        <f t="shared" si="0"/>
        <v>172</v>
      </c>
      <c r="M22" s="28">
        <f t="shared" si="0"/>
        <v>16</v>
      </c>
      <c r="N22" s="16">
        <f t="shared" si="0"/>
        <v>2</v>
      </c>
      <c r="O22" s="28">
        <f t="shared" si="0"/>
        <v>0</v>
      </c>
    </row>
    <row r="23" spans="2:15" ht="16" x14ac:dyDescent="0.2">
      <c r="B23" s="50"/>
      <c r="C23" s="53"/>
      <c r="D23" s="4" t="s">
        <v>9</v>
      </c>
      <c r="E23" s="5">
        <v>15</v>
      </c>
      <c r="F23" s="37">
        <v>59</v>
      </c>
      <c r="G23" s="5">
        <v>1.5</v>
      </c>
      <c r="H23" s="37">
        <v>24.5</v>
      </c>
      <c r="I23" s="6">
        <v>0</v>
      </c>
      <c r="J23" s="63"/>
      <c r="K23" s="28">
        <f t="shared" si="0"/>
        <v>30</v>
      </c>
      <c r="L23" s="16">
        <f t="shared" si="0"/>
        <v>118</v>
      </c>
      <c r="M23" s="28">
        <f t="shared" si="0"/>
        <v>3</v>
      </c>
      <c r="N23" s="16">
        <f t="shared" si="0"/>
        <v>49</v>
      </c>
      <c r="O23" s="28">
        <f t="shared" si="0"/>
        <v>0</v>
      </c>
    </row>
    <row r="24" spans="2:15" ht="16" x14ac:dyDescent="0.2">
      <c r="B24" s="50" t="s">
        <v>14</v>
      </c>
      <c r="C24" s="52" t="s">
        <v>12</v>
      </c>
      <c r="D24" s="4" t="s">
        <v>10</v>
      </c>
      <c r="E24" s="9">
        <v>7.17</v>
      </c>
      <c r="F24" s="39">
        <v>84.46</v>
      </c>
      <c r="G24" s="9">
        <v>0</v>
      </c>
      <c r="H24" s="39">
        <v>7.96</v>
      </c>
      <c r="I24" s="10">
        <v>0.39</v>
      </c>
      <c r="J24" s="60">
        <f>ROUND(AVERAGE(E24:E27),1)</f>
        <v>1.8</v>
      </c>
      <c r="K24" s="43">
        <f>ROUND((E24/100)*249,0)</f>
        <v>18</v>
      </c>
      <c r="L24" s="27">
        <f>ROUND((F24/100)*249,0)</f>
        <v>210</v>
      </c>
      <c r="M24" s="35">
        <f>ROUND((G24/100)*249,0)</f>
        <v>0</v>
      </c>
      <c r="N24" s="27">
        <f>ROUND((H24/100)*249,0)</f>
        <v>20</v>
      </c>
      <c r="O24" s="46">
        <f>ROUND((I24/100)*249,0)</f>
        <v>1</v>
      </c>
    </row>
    <row r="25" spans="2:15" ht="16" x14ac:dyDescent="0.2">
      <c r="B25" s="50"/>
      <c r="C25" s="52"/>
      <c r="D25" s="4" t="s">
        <v>11</v>
      </c>
      <c r="E25" s="5">
        <v>0</v>
      </c>
      <c r="F25" s="37">
        <v>98.8</v>
      </c>
      <c r="G25" s="5">
        <v>0.8</v>
      </c>
      <c r="H25" s="37">
        <v>0.4</v>
      </c>
      <c r="I25" s="6">
        <v>0</v>
      </c>
      <c r="J25" s="61"/>
      <c r="K25" s="41">
        <f t="shared" ref="K25:O27" si="1">ROUND((E25/100)*249,0)</f>
        <v>0</v>
      </c>
      <c r="L25" s="28">
        <f t="shared" si="1"/>
        <v>246</v>
      </c>
      <c r="M25" s="16">
        <f t="shared" si="1"/>
        <v>2</v>
      </c>
      <c r="N25" s="28">
        <f t="shared" si="1"/>
        <v>1</v>
      </c>
      <c r="O25" s="42">
        <f t="shared" si="1"/>
        <v>0</v>
      </c>
    </row>
    <row r="26" spans="2:15" ht="16" x14ac:dyDescent="0.2">
      <c r="B26" s="50"/>
      <c r="C26" s="52"/>
      <c r="D26" s="4" t="s">
        <v>9</v>
      </c>
      <c r="E26" s="5">
        <v>0</v>
      </c>
      <c r="F26" s="37">
        <v>100</v>
      </c>
      <c r="G26" s="5">
        <v>0</v>
      </c>
      <c r="H26" s="37">
        <v>0</v>
      </c>
      <c r="I26" s="6">
        <v>0</v>
      </c>
      <c r="J26" s="61"/>
      <c r="K26" s="41">
        <f t="shared" si="1"/>
        <v>0</v>
      </c>
      <c r="L26" s="28">
        <f t="shared" si="1"/>
        <v>249</v>
      </c>
      <c r="M26" s="16">
        <f t="shared" si="1"/>
        <v>0</v>
      </c>
      <c r="N26" s="28">
        <f t="shared" si="1"/>
        <v>0</v>
      </c>
      <c r="O26" s="42">
        <f t="shared" si="1"/>
        <v>0</v>
      </c>
    </row>
    <row r="27" spans="2:15" ht="16" x14ac:dyDescent="0.2">
      <c r="B27" s="50"/>
      <c r="C27" s="52"/>
      <c r="D27" s="4" t="s">
        <v>13</v>
      </c>
      <c r="E27" s="5">
        <v>0</v>
      </c>
      <c r="F27" s="37">
        <v>59.2</v>
      </c>
      <c r="G27" s="5">
        <v>10.4</v>
      </c>
      <c r="H27" s="37">
        <v>30</v>
      </c>
      <c r="I27" s="6">
        <v>0.4</v>
      </c>
      <c r="J27" s="62"/>
      <c r="K27" s="44">
        <f t="shared" si="1"/>
        <v>0</v>
      </c>
      <c r="L27" s="29">
        <f t="shared" si="1"/>
        <v>147</v>
      </c>
      <c r="M27" s="26">
        <f t="shared" si="1"/>
        <v>26</v>
      </c>
      <c r="N27" s="29">
        <f t="shared" si="1"/>
        <v>75</v>
      </c>
      <c r="O27" s="45">
        <f t="shared" si="1"/>
        <v>1</v>
      </c>
    </row>
    <row r="28" spans="2:15" ht="16" x14ac:dyDescent="0.2">
      <c r="B28" s="50"/>
      <c r="C28" s="53" t="s">
        <v>13</v>
      </c>
      <c r="D28" s="4" t="s">
        <v>10</v>
      </c>
      <c r="E28" s="9">
        <v>9.52</v>
      </c>
      <c r="F28" s="39">
        <v>66.27</v>
      </c>
      <c r="G28" s="9">
        <v>0.28999999999999998</v>
      </c>
      <c r="H28" s="39">
        <v>22.62</v>
      </c>
      <c r="I28" s="10">
        <v>1.19</v>
      </c>
      <c r="J28" s="63">
        <f>ROUND(AVERAGE(E28:E31),1)</f>
        <v>4.7</v>
      </c>
      <c r="K28" s="41">
        <f t="shared" ref="K28:O31" si="2">ROUND((E28/100)*250,0)</f>
        <v>24</v>
      </c>
      <c r="L28" s="41">
        <f t="shared" si="2"/>
        <v>166</v>
      </c>
      <c r="M28" s="41">
        <f t="shared" si="2"/>
        <v>1</v>
      </c>
      <c r="N28" s="28">
        <f t="shared" si="2"/>
        <v>57</v>
      </c>
      <c r="O28" s="28">
        <f t="shared" si="2"/>
        <v>3</v>
      </c>
    </row>
    <row r="29" spans="2:15" ht="16" x14ac:dyDescent="0.2">
      <c r="B29" s="50"/>
      <c r="C29" s="53"/>
      <c r="D29" s="4" t="s">
        <v>11</v>
      </c>
      <c r="E29" s="5">
        <v>0</v>
      </c>
      <c r="F29" s="37">
        <v>99.2</v>
      </c>
      <c r="G29" s="5">
        <v>0</v>
      </c>
      <c r="H29" s="37">
        <v>0.8</v>
      </c>
      <c r="I29" s="6">
        <v>0</v>
      </c>
      <c r="J29" s="63"/>
      <c r="K29" s="41">
        <f t="shared" si="2"/>
        <v>0</v>
      </c>
      <c r="L29" s="41">
        <f t="shared" si="2"/>
        <v>248</v>
      </c>
      <c r="M29" s="41">
        <f t="shared" si="2"/>
        <v>0</v>
      </c>
      <c r="N29" s="28">
        <f t="shared" si="2"/>
        <v>2</v>
      </c>
      <c r="O29" s="28">
        <f t="shared" si="2"/>
        <v>0</v>
      </c>
    </row>
    <row r="30" spans="2:15" ht="16" x14ac:dyDescent="0.2">
      <c r="B30" s="50"/>
      <c r="C30" s="53"/>
      <c r="D30" s="4" t="s">
        <v>12</v>
      </c>
      <c r="E30" s="5">
        <v>6.77</v>
      </c>
      <c r="F30" s="37">
        <v>82.47</v>
      </c>
      <c r="G30" s="5">
        <v>5.98</v>
      </c>
      <c r="H30" s="37">
        <v>4.78</v>
      </c>
      <c r="I30" s="6">
        <v>0</v>
      </c>
      <c r="J30" s="63"/>
      <c r="K30" s="41">
        <f t="shared" si="2"/>
        <v>17</v>
      </c>
      <c r="L30" s="41">
        <f t="shared" si="2"/>
        <v>206</v>
      </c>
      <c r="M30" s="41">
        <f t="shared" si="2"/>
        <v>15</v>
      </c>
      <c r="N30" s="28">
        <f t="shared" si="2"/>
        <v>12</v>
      </c>
      <c r="O30" s="28">
        <f t="shared" si="2"/>
        <v>0</v>
      </c>
    </row>
    <row r="31" spans="2:15" ht="16" x14ac:dyDescent="0.2">
      <c r="B31" s="51"/>
      <c r="C31" s="54"/>
      <c r="D31" s="12" t="s">
        <v>9</v>
      </c>
      <c r="E31" s="5">
        <v>2.37</v>
      </c>
      <c r="F31" s="49">
        <v>75.89</v>
      </c>
      <c r="G31" s="5">
        <v>0.39</v>
      </c>
      <c r="H31" s="49">
        <v>19.760000000000002</v>
      </c>
      <c r="I31" s="6">
        <v>1.58</v>
      </c>
      <c r="J31" s="63"/>
      <c r="K31" s="28">
        <f t="shared" si="2"/>
        <v>6</v>
      </c>
      <c r="L31" s="16">
        <f t="shared" si="2"/>
        <v>190</v>
      </c>
      <c r="M31" s="28">
        <f t="shared" si="2"/>
        <v>1</v>
      </c>
      <c r="N31" s="16">
        <f t="shared" si="2"/>
        <v>49</v>
      </c>
      <c r="O31" s="28">
        <f t="shared" si="2"/>
        <v>4</v>
      </c>
    </row>
    <row r="32" spans="2:15" ht="16" x14ac:dyDescent="0.2">
      <c r="B32" s="13" t="s">
        <v>15</v>
      </c>
      <c r="C32" s="11" t="s">
        <v>13</v>
      </c>
      <c r="D32" s="4" t="s">
        <v>12</v>
      </c>
      <c r="E32" s="4">
        <v>1.22</v>
      </c>
      <c r="F32" s="48">
        <v>96.34</v>
      </c>
      <c r="G32" s="4">
        <v>0</v>
      </c>
      <c r="H32" s="48">
        <v>2.44</v>
      </c>
      <c r="I32" s="4">
        <v>0</v>
      </c>
      <c r="J32" s="33">
        <f>ROUND(E32,1)</f>
        <v>1.2</v>
      </c>
      <c r="K32" s="34">
        <f>ROUND((E32/100)*164,0)</f>
        <v>2</v>
      </c>
      <c r="L32" s="31">
        <f>ROUND((F32/100)*164,0)</f>
        <v>158</v>
      </c>
      <c r="M32" s="34">
        <f>ROUND((G32/100)*164,0)</f>
        <v>0</v>
      </c>
      <c r="N32" s="31">
        <f>ROUND((H32/100)*164,0)</f>
        <v>4</v>
      </c>
      <c r="O32" s="34">
        <f>ROUND((I32/100)*164,0)</f>
        <v>0</v>
      </c>
    </row>
    <row r="33" spans="2:15" ht="16" x14ac:dyDescent="0.2">
      <c r="B33" s="18" t="s">
        <v>26</v>
      </c>
      <c r="C33" s="25" t="s">
        <v>16</v>
      </c>
      <c r="D33" s="14" t="s">
        <v>13</v>
      </c>
      <c r="E33" s="15">
        <v>0</v>
      </c>
      <c r="F33" s="37">
        <v>100</v>
      </c>
      <c r="G33" s="5">
        <v>0</v>
      </c>
      <c r="H33" s="37">
        <v>0</v>
      </c>
      <c r="I33" s="6">
        <v>0</v>
      </c>
      <c r="J33" s="16">
        <f>ROUND(E33,1)</f>
        <v>0</v>
      </c>
      <c r="K33" s="28">
        <f>ROUND((E33/100)*22,0)</f>
        <v>0</v>
      </c>
      <c r="L33" s="16">
        <f>ROUND((F33/100)*22,0)</f>
        <v>22</v>
      </c>
      <c r="M33" s="28">
        <f>ROUND((G33/100)*22,0)</f>
        <v>0</v>
      </c>
      <c r="N33" s="16">
        <f>ROUND((H33/100)*22,0)</f>
        <v>0</v>
      </c>
      <c r="O33" s="28">
        <f>ROUND((I33/100)*22,0)</f>
        <v>0</v>
      </c>
    </row>
    <row r="34" spans="2:15" ht="16" x14ac:dyDescent="0.2">
      <c r="B34" s="30" t="s">
        <v>17</v>
      </c>
      <c r="C34" s="47" t="s">
        <v>13</v>
      </c>
      <c r="D34" s="40" t="s">
        <v>12</v>
      </c>
      <c r="E34" s="5">
        <v>0</v>
      </c>
      <c r="F34" s="37">
        <v>100</v>
      </c>
      <c r="G34" s="5">
        <v>0</v>
      </c>
      <c r="H34" s="37">
        <v>0</v>
      </c>
      <c r="I34" s="6">
        <v>0</v>
      </c>
      <c r="J34" s="16">
        <f>ROUND(E34,1)</f>
        <v>0</v>
      </c>
      <c r="K34" s="28">
        <f>ROUND((E34/100)*15,0)</f>
        <v>0</v>
      </c>
      <c r="L34" s="16">
        <f>ROUND((F34/100)*15,0)</f>
        <v>15</v>
      </c>
      <c r="M34" s="28">
        <f>ROUND((G34/100)*15,0)</f>
        <v>0</v>
      </c>
      <c r="N34" s="16">
        <f>ROUND((H34/100)*15,0)</f>
        <v>0</v>
      </c>
      <c r="O34" s="28">
        <f>ROUND((I34/100)*15,0)</f>
        <v>0</v>
      </c>
    </row>
    <row r="35" spans="2:15" x14ac:dyDescent="0.2">
      <c r="B35" s="55" t="s">
        <v>18</v>
      </c>
      <c r="C35" s="56"/>
      <c r="D35" s="56"/>
      <c r="E35" s="34">
        <f>AVERAGE(AVERAGE(E4:E23),AVERAGE(E24:E31),E32,E33,E34)</f>
        <v>3.5347499999999998</v>
      </c>
      <c r="F35" s="34">
        <f t="shared" ref="F35:I35" si="3">AVERAGE(AVERAGE(F4:F23),AVERAGE(F24:F31),F32,F33,F34)</f>
        <v>89.015249999999995</v>
      </c>
      <c r="G35" s="31">
        <f t="shared" si="3"/>
        <v>1.3965000000000001</v>
      </c>
      <c r="H35" s="34">
        <f t="shared" si="3"/>
        <v>5.9210000000000003</v>
      </c>
      <c r="I35" s="31">
        <f t="shared" si="3"/>
        <v>0.129</v>
      </c>
      <c r="J35" s="34">
        <f>ROUND(AVERAGE(AVERAGE(J4:J23),AVERAGE(J24:J31),J32,J33,J34),1)</f>
        <v>3.5</v>
      </c>
      <c r="K35" s="34">
        <f>ROUND(AVERAGE(K4:K34),0)</f>
        <v>19</v>
      </c>
      <c r="L35" s="34">
        <f t="shared" ref="L35:O35" si="4">ROUND(AVERAGE(L4:L34),0)</f>
        <v>144</v>
      </c>
      <c r="M35" s="34">
        <f t="shared" si="4"/>
        <v>8</v>
      </c>
      <c r="N35" s="34">
        <f t="shared" si="4"/>
        <v>28</v>
      </c>
      <c r="O35" s="34">
        <f t="shared" si="4"/>
        <v>1</v>
      </c>
    </row>
  </sheetData>
  <mergeCells count="17">
    <mergeCell ref="B24:B31"/>
    <mergeCell ref="C24:C27"/>
    <mergeCell ref="C28:C31"/>
    <mergeCell ref="B35:D35"/>
    <mergeCell ref="B4:B23"/>
    <mergeCell ref="C4:C7"/>
    <mergeCell ref="C8:C11"/>
    <mergeCell ref="C12:C15"/>
    <mergeCell ref="C16:C19"/>
    <mergeCell ref="C20:C23"/>
    <mergeCell ref="J24:J27"/>
    <mergeCell ref="J28:J31"/>
    <mergeCell ref="J4:J7"/>
    <mergeCell ref="J8:J11"/>
    <mergeCell ref="J12:J15"/>
    <mergeCell ref="J16:J19"/>
    <mergeCell ref="J20:J23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8D00-68AE-4F4A-8486-0703F65775E0}">
  <dimension ref="B3:O35"/>
  <sheetViews>
    <sheetView workbookViewId="0">
      <selection activeCell="E39" sqref="E39"/>
    </sheetView>
  </sheetViews>
  <sheetFormatPr baseColWidth="10" defaultColWidth="8.83203125" defaultRowHeight="15" x14ac:dyDescent="0.2"/>
  <cols>
    <col min="2" max="2" width="11.5" customWidth="1"/>
    <col min="3" max="3" width="16.83203125" customWidth="1"/>
    <col min="4" max="4" width="12.5" customWidth="1"/>
    <col min="5" max="5" width="18.6640625" customWidth="1"/>
    <col min="6" max="6" width="26.33203125" customWidth="1"/>
    <col min="7" max="7" width="24.1640625" customWidth="1"/>
    <col min="8" max="8" width="22.83203125" customWidth="1"/>
    <col min="9" max="9" width="21.5" customWidth="1"/>
    <col min="10" max="10" width="19" customWidth="1"/>
    <col min="11" max="11" width="16.5" customWidth="1"/>
    <col min="12" max="12" width="16.83203125" customWidth="1"/>
    <col min="13" max="13" width="14" customWidth="1"/>
    <col min="14" max="14" width="15" customWidth="1"/>
    <col min="15" max="15" width="19.83203125" customWidth="1"/>
  </cols>
  <sheetData>
    <row r="3" spans="2:15" ht="16" x14ac:dyDescent="0.2">
      <c r="B3" s="1" t="s">
        <v>0</v>
      </c>
      <c r="C3" s="2" t="s">
        <v>1</v>
      </c>
      <c r="D3" s="2" t="s">
        <v>2</v>
      </c>
      <c r="E3" s="3" t="s">
        <v>3</v>
      </c>
      <c r="F3" s="2" t="s">
        <v>4</v>
      </c>
      <c r="G3" s="3" t="s">
        <v>5</v>
      </c>
      <c r="H3" s="2" t="s">
        <v>6</v>
      </c>
      <c r="I3" s="3" t="s">
        <v>7</v>
      </c>
      <c r="J3" s="17" t="s">
        <v>20</v>
      </c>
      <c r="K3" s="18" t="s">
        <v>21</v>
      </c>
      <c r="L3" s="18" t="s">
        <v>22</v>
      </c>
      <c r="M3" s="18" t="s">
        <v>23</v>
      </c>
      <c r="N3" s="18" t="s">
        <v>24</v>
      </c>
      <c r="O3" s="18" t="s">
        <v>25</v>
      </c>
    </row>
    <row r="4" spans="2:15" ht="16.5" customHeight="1" x14ac:dyDescent="0.2">
      <c r="B4" s="50" t="s">
        <v>8</v>
      </c>
      <c r="C4" s="57" t="s">
        <v>9</v>
      </c>
      <c r="D4" s="4" t="s">
        <v>10</v>
      </c>
      <c r="E4" s="5">
        <v>45.5</v>
      </c>
      <c r="F4" s="36">
        <v>20</v>
      </c>
      <c r="G4" s="5">
        <v>33</v>
      </c>
      <c r="H4" s="36">
        <v>0</v>
      </c>
      <c r="I4" s="6">
        <v>1.5</v>
      </c>
      <c r="J4" s="63">
        <f>ROUND(AVERAGE(E4:E7),1)</f>
        <v>18.8</v>
      </c>
      <c r="K4" s="27">
        <f>ROUND((E4/100)*200,0)</f>
        <v>91</v>
      </c>
      <c r="L4" s="16">
        <f>ROUND((F4/100)*200,0)</f>
        <v>40</v>
      </c>
      <c r="M4" s="27">
        <f>ROUND((G4/100)*200,0)</f>
        <v>66</v>
      </c>
      <c r="N4" s="16">
        <f>ROUND((H4/100)*200,0)</f>
        <v>0</v>
      </c>
      <c r="O4" s="27">
        <f>ROUND((I4/100)*200,0)</f>
        <v>3</v>
      </c>
    </row>
    <row r="5" spans="2:15" ht="16" x14ac:dyDescent="0.2">
      <c r="B5" s="50"/>
      <c r="C5" s="57"/>
      <c r="D5" s="4" t="s">
        <v>11</v>
      </c>
      <c r="E5" s="5">
        <v>5.5</v>
      </c>
      <c r="F5" s="37">
        <v>92.5</v>
      </c>
      <c r="G5" s="5">
        <v>0.5</v>
      </c>
      <c r="H5" s="37">
        <v>1.5</v>
      </c>
      <c r="I5" s="6">
        <v>0</v>
      </c>
      <c r="J5" s="63"/>
      <c r="K5" s="28">
        <f t="shared" ref="K5:O23" si="0">ROUND((E5/100)*200,0)</f>
        <v>11</v>
      </c>
      <c r="L5" s="16">
        <f t="shared" si="0"/>
        <v>185</v>
      </c>
      <c r="M5" s="28">
        <f t="shared" si="0"/>
        <v>1</v>
      </c>
      <c r="N5" s="16">
        <f t="shared" si="0"/>
        <v>3</v>
      </c>
      <c r="O5" s="28">
        <f t="shared" si="0"/>
        <v>0</v>
      </c>
    </row>
    <row r="6" spans="2:15" ht="16" x14ac:dyDescent="0.2">
      <c r="B6" s="50"/>
      <c r="C6" s="57"/>
      <c r="D6" s="4" t="s">
        <v>12</v>
      </c>
      <c r="E6" s="5">
        <v>8</v>
      </c>
      <c r="F6" s="37">
        <v>52</v>
      </c>
      <c r="G6" s="5">
        <v>12</v>
      </c>
      <c r="H6" s="37">
        <v>28</v>
      </c>
      <c r="I6" s="6">
        <v>0</v>
      </c>
      <c r="J6" s="63"/>
      <c r="K6" s="28">
        <f t="shared" si="0"/>
        <v>16</v>
      </c>
      <c r="L6" s="16">
        <f t="shared" si="0"/>
        <v>104</v>
      </c>
      <c r="M6" s="28">
        <f t="shared" si="0"/>
        <v>24</v>
      </c>
      <c r="N6" s="16">
        <f t="shared" si="0"/>
        <v>56</v>
      </c>
      <c r="O6" s="28">
        <f t="shared" si="0"/>
        <v>0</v>
      </c>
    </row>
    <row r="7" spans="2:15" ht="16" x14ac:dyDescent="0.2">
      <c r="B7" s="50"/>
      <c r="C7" s="57"/>
      <c r="D7" s="4" t="s">
        <v>19</v>
      </c>
      <c r="E7" s="7">
        <v>16</v>
      </c>
      <c r="F7" s="38">
        <v>15</v>
      </c>
      <c r="G7" s="7">
        <v>41.5</v>
      </c>
      <c r="H7" s="38">
        <v>24.5</v>
      </c>
      <c r="I7" s="8">
        <v>2</v>
      </c>
      <c r="J7" s="63"/>
      <c r="K7" s="28">
        <f t="shared" si="0"/>
        <v>32</v>
      </c>
      <c r="L7" s="16">
        <f t="shared" si="0"/>
        <v>30</v>
      </c>
      <c r="M7" s="28">
        <f t="shared" si="0"/>
        <v>83</v>
      </c>
      <c r="N7" s="16">
        <f t="shared" si="0"/>
        <v>49</v>
      </c>
      <c r="O7" s="28">
        <f t="shared" si="0"/>
        <v>4</v>
      </c>
    </row>
    <row r="8" spans="2:15" ht="16" x14ac:dyDescent="0.2">
      <c r="B8" s="50"/>
      <c r="C8" s="58" t="s">
        <v>10</v>
      </c>
      <c r="D8" s="4" t="s">
        <v>9</v>
      </c>
      <c r="E8" s="5">
        <v>6</v>
      </c>
      <c r="F8" s="37">
        <v>87.5</v>
      </c>
      <c r="G8" s="5">
        <v>0.5</v>
      </c>
      <c r="H8" s="37">
        <v>6</v>
      </c>
      <c r="I8" s="6">
        <v>0</v>
      </c>
      <c r="J8" s="60">
        <f>ROUND(AVERAGE(E8:E11),1)</f>
        <v>8.3000000000000007</v>
      </c>
      <c r="K8" s="27">
        <f t="shared" si="0"/>
        <v>12</v>
      </c>
      <c r="L8" s="35">
        <f t="shared" si="0"/>
        <v>175</v>
      </c>
      <c r="M8" s="27">
        <f t="shared" si="0"/>
        <v>1</v>
      </c>
      <c r="N8" s="35">
        <f t="shared" si="0"/>
        <v>12</v>
      </c>
      <c r="O8" s="27">
        <f t="shared" si="0"/>
        <v>0</v>
      </c>
    </row>
    <row r="9" spans="2:15" ht="16" x14ac:dyDescent="0.2">
      <c r="B9" s="50"/>
      <c r="C9" s="58"/>
      <c r="D9" s="4" t="s">
        <v>11</v>
      </c>
      <c r="E9" s="5">
        <v>0.5</v>
      </c>
      <c r="F9" s="37">
        <v>97.5</v>
      </c>
      <c r="G9" s="5">
        <v>0</v>
      </c>
      <c r="H9" s="37">
        <v>2</v>
      </c>
      <c r="I9" s="6">
        <v>0</v>
      </c>
      <c r="J9" s="61"/>
      <c r="K9" s="28">
        <f t="shared" si="0"/>
        <v>1</v>
      </c>
      <c r="L9" s="16">
        <f t="shared" si="0"/>
        <v>195</v>
      </c>
      <c r="M9" s="28">
        <f t="shared" si="0"/>
        <v>0</v>
      </c>
      <c r="N9" s="16">
        <f t="shared" si="0"/>
        <v>4</v>
      </c>
      <c r="O9" s="28">
        <f t="shared" si="0"/>
        <v>0</v>
      </c>
    </row>
    <row r="10" spans="2:15" ht="16" x14ac:dyDescent="0.2">
      <c r="B10" s="50"/>
      <c r="C10" s="58"/>
      <c r="D10" s="4" t="s">
        <v>12</v>
      </c>
      <c r="E10" s="5">
        <v>8</v>
      </c>
      <c r="F10" s="37">
        <v>67</v>
      </c>
      <c r="G10" s="5">
        <v>7.5</v>
      </c>
      <c r="H10" s="37">
        <v>17.5</v>
      </c>
      <c r="I10" s="6">
        <v>0</v>
      </c>
      <c r="J10" s="61"/>
      <c r="K10" s="28">
        <f t="shared" si="0"/>
        <v>16</v>
      </c>
      <c r="L10" s="16">
        <f t="shared" si="0"/>
        <v>134</v>
      </c>
      <c r="M10" s="28">
        <f t="shared" si="0"/>
        <v>15</v>
      </c>
      <c r="N10" s="16">
        <f t="shared" si="0"/>
        <v>35</v>
      </c>
      <c r="O10" s="28">
        <f t="shared" si="0"/>
        <v>0</v>
      </c>
    </row>
    <row r="11" spans="2:15" ht="16" x14ac:dyDescent="0.2">
      <c r="B11" s="50"/>
      <c r="C11" s="58"/>
      <c r="D11" s="4" t="s">
        <v>19</v>
      </c>
      <c r="E11" s="5">
        <v>18.5</v>
      </c>
      <c r="F11" s="37">
        <v>21</v>
      </c>
      <c r="G11" s="5">
        <v>42.5</v>
      </c>
      <c r="H11" s="37">
        <v>17</v>
      </c>
      <c r="I11" s="6">
        <v>1</v>
      </c>
      <c r="J11" s="62"/>
      <c r="K11" s="29">
        <f t="shared" si="0"/>
        <v>37</v>
      </c>
      <c r="L11" s="26">
        <f t="shared" si="0"/>
        <v>42</v>
      </c>
      <c r="M11" s="29">
        <f t="shared" si="0"/>
        <v>85</v>
      </c>
      <c r="N11" s="26">
        <f t="shared" si="0"/>
        <v>34</v>
      </c>
      <c r="O11" s="29">
        <f t="shared" si="0"/>
        <v>2</v>
      </c>
    </row>
    <row r="12" spans="2:15" ht="16" x14ac:dyDescent="0.2">
      <c r="B12" s="50"/>
      <c r="C12" s="59" t="s">
        <v>11</v>
      </c>
      <c r="D12" s="4" t="s">
        <v>10</v>
      </c>
      <c r="E12" s="9">
        <v>18</v>
      </c>
      <c r="F12" s="39">
        <v>62</v>
      </c>
      <c r="G12" s="9">
        <v>0</v>
      </c>
      <c r="H12" s="39">
        <v>20</v>
      </c>
      <c r="I12" s="10">
        <v>0</v>
      </c>
      <c r="J12" s="64">
        <f>ROUND(AVERAGE(E12:E15),1)</f>
        <v>6.6</v>
      </c>
      <c r="K12" s="28">
        <f t="shared" si="0"/>
        <v>36</v>
      </c>
      <c r="L12" s="16">
        <f t="shared" si="0"/>
        <v>124</v>
      </c>
      <c r="M12" s="28">
        <f t="shared" si="0"/>
        <v>0</v>
      </c>
      <c r="N12" s="16">
        <f t="shared" si="0"/>
        <v>40</v>
      </c>
      <c r="O12" s="28">
        <f t="shared" si="0"/>
        <v>0</v>
      </c>
    </row>
    <row r="13" spans="2:15" ht="16" x14ac:dyDescent="0.2">
      <c r="B13" s="50"/>
      <c r="C13" s="59"/>
      <c r="D13" s="4" t="s">
        <v>9</v>
      </c>
      <c r="E13" s="5">
        <v>3.5</v>
      </c>
      <c r="F13" s="37">
        <v>82</v>
      </c>
      <c r="G13" s="5">
        <v>0.5</v>
      </c>
      <c r="H13" s="37">
        <v>14</v>
      </c>
      <c r="I13" s="6">
        <v>0</v>
      </c>
      <c r="J13" s="64"/>
      <c r="K13" s="28">
        <f t="shared" si="0"/>
        <v>7</v>
      </c>
      <c r="L13" s="16">
        <f t="shared" si="0"/>
        <v>164</v>
      </c>
      <c r="M13" s="28">
        <f t="shared" si="0"/>
        <v>1</v>
      </c>
      <c r="N13" s="16">
        <f t="shared" si="0"/>
        <v>28</v>
      </c>
      <c r="O13" s="28">
        <f t="shared" si="0"/>
        <v>0</v>
      </c>
    </row>
    <row r="14" spans="2:15" ht="16" x14ac:dyDescent="0.2">
      <c r="B14" s="50"/>
      <c r="C14" s="59"/>
      <c r="D14" s="4" t="s">
        <v>12</v>
      </c>
      <c r="E14" s="5">
        <v>0</v>
      </c>
      <c r="F14" s="37">
        <v>96.5</v>
      </c>
      <c r="G14" s="5">
        <v>3.5</v>
      </c>
      <c r="H14" s="37">
        <v>0</v>
      </c>
      <c r="I14" s="6">
        <v>0</v>
      </c>
      <c r="J14" s="64"/>
      <c r="K14" s="28">
        <f t="shared" si="0"/>
        <v>0</v>
      </c>
      <c r="L14" s="16">
        <f t="shared" si="0"/>
        <v>193</v>
      </c>
      <c r="M14" s="28">
        <f t="shared" si="0"/>
        <v>7</v>
      </c>
      <c r="N14" s="16">
        <f t="shared" si="0"/>
        <v>0</v>
      </c>
      <c r="O14" s="28">
        <f t="shared" si="0"/>
        <v>0</v>
      </c>
    </row>
    <row r="15" spans="2:15" ht="16" x14ac:dyDescent="0.2">
      <c r="B15" s="50"/>
      <c r="C15" s="59"/>
      <c r="D15" s="4" t="s">
        <v>19</v>
      </c>
      <c r="E15" s="7">
        <v>5</v>
      </c>
      <c r="F15" s="38">
        <v>46.5</v>
      </c>
      <c r="G15" s="7">
        <v>27.5</v>
      </c>
      <c r="H15" s="38">
        <v>20.5</v>
      </c>
      <c r="I15" s="8">
        <v>0.5</v>
      </c>
      <c r="J15" s="64"/>
      <c r="K15" s="28">
        <f t="shared" si="0"/>
        <v>10</v>
      </c>
      <c r="L15" s="16">
        <f t="shared" si="0"/>
        <v>93</v>
      </c>
      <c r="M15" s="28">
        <f t="shared" si="0"/>
        <v>55</v>
      </c>
      <c r="N15" s="16">
        <f t="shared" si="0"/>
        <v>41</v>
      </c>
      <c r="O15" s="28">
        <f t="shared" si="0"/>
        <v>1</v>
      </c>
    </row>
    <row r="16" spans="2:15" ht="16" x14ac:dyDescent="0.2">
      <c r="B16" s="50"/>
      <c r="C16" s="52" t="s">
        <v>12</v>
      </c>
      <c r="D16" s="4" t="s">
        <v>10</v>
      </c>
      <c r="E16" s="5">
        <v>17.5</v>
      </c>
      <c r="F16" s="37">
        <v>48.5</v>
      </c>
      <c r="G16" s="5">
        <v>1.5</v>
      </c>
      <c r="H16" s="37">
        <v>31.5</v>
      </c>
      <c r="I16" s="6">
        <v>1</v>
      </c>
      <c r="J16" s="60">
        <f>ROUND(AVERAGE(E16:E19),1)</f>
        <v>6.5</v>
      </c>
      <c r="K16" s="27">
        <f t="shared" si="0"/>
        <v>35</v>
      </c>
      <c r="L16" s="35">
        <f t="shared" si="0"/>
        <v>97</v>
      </c>
      <c r="M16" s="27">
        <f t="shared" si="0"/>
        <v>3</v>
      </c>
      <c r="N16" s="35">
        <f t="shared" si="0"/>
        <v>63</v>
      </c>
      <c r="O16" s="27">
        <f t="shared" si="0"/>
        <v>2</v>
      </c>
    </row>
    <row r="17" spans="2:15" ht="16" x14ac:dyDescent="0.2">
      <c r="B17" s="50"/>
      <c r="C17" s="52"/>
      <c r="D17" s="4" t="s">
        <v>11</v>
      </c>
      <c r="E17" s="5">
        <v>0</v>
      </c>
      <c r="F17" s="37">
        <v>99.5</v>
      </c>
      <c r="G17" s="5">
        <v>0</v>
      </c>
      <c r="H17" s="37">
        <v>0.5</v>
      </c>
      <c r="I17" s="6">
        <v>0</v>
      </c>
      <c r="J17" s="61"/>
      <c r="K17" s="28">
        <f t="shared" si="0"/>
        <v>0</v>
      </c>
      <c r="L17" s="16">
        <f t="shared" si="0"/>
        <v>199</v>
      </c>
      <c r="M17" s="28">
        <f t="shared" si="0"/>
        <v>0</v>
      </c>
      <c r="N17" s="16">
        <f t="shared" si="0"/>
        <v>1</v>
      </c>
      <c r="O17" s="28">
        <f t="shared" si="0"/>
        <v>0</v>
      </c>
    </row>
    <row r="18" spans="2:15" ht="16" x14ac:dyDescent="0.2">
      <c r="B18" s="50"/>
      <c r="C18" s="52"/>
      <c r="D18" s="4" t="s">
        <v>9</v>
      </c>
      <c r="E18" s="5">
        <v>7</v>
      </c>
      <c r="F18" s="37">
        <v>68</v>
      </c>
      <c r="G18" s="5">
        <v>4.5</v>
      </c>
      <c r="H18" s="37">
        <v>20.5</v>
      </c>
      <c r="I18" s="6">
        <v>0</v>
      </c>
      <c r="J18" s="61"/>
      <c r="K18" s="28">
        <f t="shared" si="0"/>
        <v>14</v>
      </c>
      <c r="L18" s="16">
        <f t="shared" si="0"/>
        <v>136</v>
      </c>
      <c r="M18" s="28">
        <f t="shared" si="0"/>
        <v>9</v>
      </c>
      <c r="N18" s="16">
        <f t="shared" si="0"/>
        <v>41</v>
      </c>
      <c r="O18" s="28">
        <f t="shared" si="0"/>
        <v>0</v>
      </c>
    </row>
    <row r="19" spans="2:15" ht="16" x14ac:dyDescent="0.2">
      <c r="B19" s="50"/>
      <c r="C19" s="52"/>
      <c r="D19" s="4" t="s">
        <v>19</v>
      </c>
      <c r="E19" s="5">
        <v>1.5</v>
      </c>
      <c r="F19" s="37">
        <v>57</v>
      </c>
      <c r="G19" s="5">
        <v>39.5</v>
      </c>
      <c r="H19" s="37">
        <v>2</v>
      </c>
      <c r="I19" s="6">
        <v>0</v>
      </c>
      <c r="J19" s="62"/>
      <c r="K19" s="29">
        <f t="shared" si="0"/>
        <v>3</v>
      </c>
      <c r="L19" s="26">
        <f t="shared" si="0"/>
        <v>114</v>
      </c>
      <c r="M19" s="29">
        <f t="shared" si="0"/>
        <v>79</v>
      </c>
      <c r="N19" s="26">
        <f t="shared" si="0"/>
        <v>4</v>
      </c>
      <c r="O19" s="29">
        <f t="shared" si="0"/>
        <v>0</v>
      </c>
    </row>
    <row r="20" spans="2:15" ht="16" x14ac:dyDescent="0.2">
      <c r="B20" s="50"/>
      <c r="C20" s="53" t="s">
        <v>19</v>
      </c>
      <c r="D20" s="4" t="s">
        <v>10</v>
      </c>
      <c r="E20" s="9">
        <v>15</v>
      </c>
      <c r="F20" s="39">
        <v>62</v>
      </c>
      <c r="G20" s="9">
        <v>0.5</v>
      </c>
      <c r="H20" s="39">
        <v>22</v>
      </c>
      <c r="I20" s="10">
        <v>0.5</v>
      </c>
      <c r="J20" s="63">
        <f>ROUND(AVERAGE(E20:E23),1)</f>
        <v>6.5</v>
      </c>
      <c r="K20" s="28">
        <f t="shared" si="0"/>
        <v>30</v>
      </c>
      <c r="L20" s="16">
        <f t="shared" si="0"/>
        <v>124</v>
      </c>
      <c r="M20" s="28">
        <f t="shared" si="0"/>
        <v>1</v>
      </c>
      <c r="N20" s="16">
        <f t="shared" si="0"/>
        <v>44</v>
      </c>
      <c r="O20" s="28">
        <f t="shared" si="0"/>
        <v>1</v>
      </c>
    </row>
    <row r="21" spans="2:15" ht="16" x14ac:dyDescent="0.2">
      <c r="B21" s="50"/>
      <c r="C21" s="53"/>
      <c r="D21" s="4" t="s">
        <v>11</v>
      </c>
      <c r="E21" s="5">
        <v>0</v>
      </c>
      <c r="F21" s="37">
        <v>96.5</v>
      </c>
      <c r="G21" s="5">
        <v>0</v>
      </c>
      <c r="H21" s="37">
        <v>3.5</v>
      </c>
      <c r="I21" s="6">
        <v>0</v>
      </c>
      <c r="J21" s="63"/>
      <c r="K21" s="28">
        <f t="shared" si="0"/>
        <v>0</v>
      </c>
      <c r="L21" s="16">
        <f t="shared" si="0"/>
        <v>193</v>
      </c>
      <c r="M21" s="28">
        <f t="shared" si="0"/>
        <v>0</v>
      </c>
      <c r="N21" s="16">
        <f t="shared" si="0"/>
        <v>7</v>
      </c>
      <c r="O21" s="28">
        <f t="shared" si="0"/>
        <v>0</v>
      </c>
    </row>
    <row r="22" spans="2:15" ht="16" x14ac:dyDescent="0.2">
      <c r="B22" s="50"/>
      <c r="C22" s="53"/>
      <c r="D22" s="4" t="s">
        <v>12</v>
      </c>
      <c r="E22" s="5">
        <v>5.5</v>
      </c>
      <c r="F22" s="37">
        <v>77</v>
      </c>
      <c r="G22" s="5">
        <v>7</v>
      </c>
      <c r="H22" s="37">
        <v>10.5</v>
      </c>
      <c r="I22" s="6">
        <v>0</v>
      </c>
      <c r="J22" s="63"/>
      <c r="K22" s="28">
        <f t="shared" si="0"/>
        <v>11</v>
      </c>
      <c r="L22" s="16">
        <f t="shared" si="0"/>
        <v>154</v>
      </c>
      <c r="M22" s="28">
        <f t="shared" si="0"/>
        <v>14</v>
      </c>
      <c r="N22" s="16">
        <f t="shared" si="0"/>
        <v>21</v>
      </c>
      <c r="O22" s="28">
        <f t="shared" si="0"/>
        <v>0</v>
      </c>
    </row>
    <row r="23" spans="2:15" ht="16" x14ac:dyDescent="0.2">
      <c r="B23" s="50"/>
      <c r="C23" s="53"/>
      <c r="D23" s="4" t="s">
        <v>9</v>
      </c>
      <c r="E23" s="5">
        <v>5.5</v>
      </c>
      <c r="F23" s="37">
        <v>80.5</v>
      </c>
      <c r="G23" s="5">
        <v>0</v>
      </c>
      <c r="H23" s="37">
        <v>14</v>
      </c>
      <c r="I23" s="6">
        <v>0</v>
      </c>
      <c r="J23" s="63"/>
      <c r="K23" s="28">
        <f t="shared" si="0"/>
        <v>11</v>
      </c>
      <c r="L23" s="16">
        <f t="shared" si="0"/>
        <v>161</v>
      </c>
      <c r="M23" s="28">
        <f t="shared" si="0"/>
        <v>0</v>
      </c>
      <c r="N23" s="16">
        <f t="shared" si="0"/>
        <v>28</v>
      </c>
      <c r="O23" s="28">
        <f t="shared" si="0"/>
        <v>0</v>
      </c>
    </row>
    <row r="24" spans="2:15" ht="16" x14ac:dyDescent="0.2">
      <c r="B24" s="50" t="s">
        <v>14</v>
      </c>
      <c r="C24" s="52" t="s">
        <v>12</v>
      </c>
      <c r="D24" s="4" t="s">
        <v>10</v>
      </c>
      <c r="E24" s="9">
        <v>15.75</v>
      </c>
      <c r="F24" s="39">
        <v>64.569999999999993</v>
      </c>
      <c r="G24" s="9">
        <v>0.39</v>
      </c>
      <c r="H24" s="39">
        <v>17.32</v>
      </c>
      <c r="I24" s="10">
        <v>1.97</v>
      </c>
      <c r="J24" s="60">
        <f>ROUND(AVERAGE(E24:E27),1)</f>
        <v>5</v>
      </c>
      <c r="K24" s="43">
        <f>ROUND((E24/100)*249,0)</f>
        <v>39</v>
      </c>
      <c r="L24" s="27">
        <f>ROUND((F24/100)*249,0)</f>
        <v>161</v>
      </c>
      <c r="M24" s="35">
        <f>ROUND((G24/100)*249,0)</f>
        <v>1</v>
      </c>
      <c r="N24" s="27">
        <f>ROUND((H24/100)*249,0)</f>
        <v>43</v>
      </c>
      <c r="O24" s="46">
        <f>ROUND((I24/100)*249,0)</f>
        <v>5</v>
      </c>
    </row>
    <row r="25" spans="2:15" ht="16" x14ac:dyDescent="0.2">
      <c r="B25" s="50"/>
      <c r="C25" s="52"/>
      <c r="D25" s="4" t="s">
        <v>11</v>
      </c>
      <c r="E25" s="5">
        <v>0</v>
      </c>
      <c r="F25" s="37">
        <v>99.59</v>
      </c>
      <c r="G25" s="5">
        <v>0</v>
      </c>
      <c r="H25" s="37">
        <v>0.4</v>
      </c>
      <c r="I25" s="6">
        <v>0</v>
      </c>
      <c r="J25" s="61"/>
      <c r="K25" s="41">
        <f t="shared" ref="K25:O27" si="1">ROUND((E25/100)*249,0)</f>
        <v>0</v>
      </c>
      <c r="L25" s="28">
        <f t="shared" si="1"/>
        <v>248</v>
      </c>
      <c r="M25" s="16">
        <f t="shared" si="1"/>
        <v>0</v>
      </c>
      <c r="N25" s="28">
        <f t="shared" si="1"/>
        <v>1</v>
      </c>
      <c r="O25" s="42">
        <f t="shared" si="1"/>
        <v>0</v>
      </c>
    </row>
    <row r="26" spans="2:15" ht="16" x14ac:dyDescent="0.2">
      <c r="B26" s="50"/>
      <c r="C26" s="52"/>
      <c r="D26" s="4" t="s">
        <v>9</v>
      </c>
      <c r="E26" s="5">
        <v>4.42</v>
      </c>
      <c r="F26" s="37">
        <v>81.92</v>
      </c>
      <c r="G26" s="5">
        <v>7.63</v>
      </c>
      <c r="H26" s="37">
        <v>6.02</v>
      </c>
      <c r="I26" s="6">
        <v>0</v>
      </c>
      <c r="J26" s="61"/>
      <c r="K26" s="41">
        <f t="shared" si="1"/>
        <v>11</v>
      </c>
      <c r="L26" s="28">
        <f t="shared" si="1"/>
        <v>204</v>
      </c>
      <c r="M26" s="16">
        <f t="shared" si="1"/>
        <v>19</v>
      </c>
      <c r="N26" s="28">
        <f t="shared" si="1"/>
        <v>15</v>
      </c>
      <c r="O26" s="42">
        <f t="shared" si="1"/>
        <v>0</v>
      </c>
    </row>
    <row r="27" spans="2:15" ht="16" x14ac:dyDescent="0.2">
      <c r="B27" s="50"/>
      <c r="C27" s="52"/>
      <c r="D27" s="4" t="s">
        <v>19</v>
      </c>
      <c r="E27" s="5">
        <v>0</v>
      </c>
      <c r="F27" s="37">
        <v>53.41</v>
      </c>
      <c r="G27" s="5">
        <v>46.18</v>
      </c>
      <c r="H27" s="37">
        <v>0.4</v>
      </c>
      <c r="I27" s="6">
        <v>0</v>
      </c>
      <c r="J27" s="62"/>
      <c r="K27" s="44">
        <f t="shared" si="1"/>
        <v>0</v>
      </c>
      <c r="L27" s="29">
        <f t="shared" si="1"/>
        <v>133</v>
      </c>
      <c r="M27" s="26">
        <f t="shared" si="1"/>
        <v>115</v>
      </c>
      <c r="N27" s="29">
        <f t="shared" si="1"/>
        <v>1</v>
      </c>
      <c r="O27" s="45">
        <f t="shared" si="1"/>
        <v>0</v>
      </c>
    </row>
    <row r="28" spans="2:15" ht="16" x14ac:dyDescent="0.2">
      <c r="B28" s="50"/>
      <c r="C28" s="53" t="s">
        <v>19</v>
      </c>
      <c r="D28" s="4" t="s">
        <v>10</v>
      </c>
      <c r="E28" s="9">
        <v>1.58</v>
      </c>
      <c r="F28" s="39">
        <v>78.97</v>
      </c>
      <c r="G28" s="9">
        <v>1.98</v>
      </c>
      <c r="H28" s="39">
        <v>17.059999999999999</v>
      </c>
      <c r="I28" s="10">
        <v>0.39</v>
      </c>
      <c r="J28" s="63">
        <f>ROUND(AVERAGE(E28:E31),1)</f>
        <v>0.9</v>
      </c>
      <c r="K28" s="41">
        <f t="shared" ref="K28:O31" si="2">ROUND((E28/100)*250,0)</f>
        <v>4</v>
      </c>
      <c r="L28" s="41">
        <f t="shared" si="2"/>
        <v>197</v>
      </c>
      <c r="M28" s="41">
        <f t="shared" si="2"/>
        <v>5</v>
      </c>
      <c r="N28" s="28">
        <f t="shared" si="2"/>
        <v>43</v>
      </c>
      <c r="O28" s="28">
        <f t="shared" si="2"/>
        <v>1</v>
      </c>
    </row>
    <row r="29" spans="2:15" ht="16" x14ac:dyDescent="0.2">
      <c r="B29" s="50"/>
      <c r="C29" s="53"/>
      <c r="D29" s="4" t="s">
        <v>11</v>
      </c>
      <c r="E29" s="5">
        <v>0</v>
      </c>
      <c r="F29" s="37">
        <v>97.2</v>
      </c>
      <c r="G29" s="5">
        <v>0.8</v>
      </c>
      <c r="H29" s="37">
        <v>2</v>
      </c>
      <c r="I29" s="6">
        <v>0</v>
      </c>
      <c r="J29" s="63"/>
      <c r="K29" s="41">
        <f t="shared" si="2"/>
        <v>0</v>
      </c>
      <c r="L29" s="41">
        <f t="shared" si="2"/>
        <v>243</v>
      </c>
      <c r="M29" s="41">
        <f t="shared" si="2"/>
        <v>2</v>
      </c>
      <c r="N29" s="28">
        <f t="shared" si="2"/>
        <v>5</v>
      </c>
      <c r="O29" s="28">
        <f t="shared" si="2"/>
        <v>0</v>
      </c>
    </row>
    <row r="30" spans="2:15" ht="16" x14ac:dyDescent="0.2">
      <c r="B30" s="50"/>
      <c r="C30" s="53"/>
      <c r="D30" s="4" t="s">
        <v>12</v>
      </c>
      <c r="E30" s="5">
        <v>1.99</v>
      </c>
      <c r="F30" s="37">
        <v>82.47</v>
      </c>
      <c r="G30" s="5">
        <v>7.97</v>
      </c>
      <c r="H30" s="37">
        <v>7.57</v>
      </c>
      <c r="I30" s="6">
        <v>0</v>
      </c>
      <c r="J30" s="63"/>
      <c r="K30" s="41">
        <f t="shared" si="2"/>
        <v>5</v>
      </c>
      <c r="L30" s="41">
        <f t="shared" si="2"/>
        <v>206</v>
      </c>
      <c r="M30" s="41">
        <f t="shared" si="2"/>
        <v>20</v>
      </c>
      <c r="N30" s="28">
        <f t="shared" si="2"/>
        <v>19</v>
      </c>
      <c r="O30" s="28">
        <f t="shared" si="2"/>
        <v>0</v>
      </c>
    </row>
    <row r="31" spans="2:15" ht="16" x14ac:dyDescent="0.2">
      <c r="B31" s="51"/>
      <c r="C31" s="53"/>
      <c r="D31" s="12" t="s">
        <v>9</v>
      </c>
      <c r="E31" s="5">
        <v>0</v>
      </c>
      <c r="F31" s="49">
        <v>91.6</v>
      </c>
      <c r="G31" s="5">
        <v>2</v>
      </c>
      <c r="H31" s="49">
        <v>6.4</v>
      </c>
      <c r="I31" s="6">
        <v>0</v>
      </c>
      <c r="J31" s="63"/>
      <c r="K31" s="28">
        <f t="shared" si="2"/>
        <v>0</v>
      </c>
      <c r="L31" s="16">
        <f t="shared" si="2"/>
        <v>229</v>
      </c>
      <c r="M31" s="28">
        <f t="shared" si="2"/>
        <v>5</v>
      </c>
      <c r="N31" s="16">
        <f t="shared" si="2"/>
        <v>16</v>
      </c>
      <c r="O31" s="28">
        <f t="shared" si="2"/>
        <v>0</v>
      </c>
    </row>
    <row r="32" spans="2:15" ht="16" x14ac:dyDescent="0.2">
      <c r="B32" s="13" t="s">
        <v>15</v>
      </c>
      <c r="C32" s="11" t="s">
        <v>13</v>
      </c>
      <c r="D32" s="4" t="s">
        <v>12</v>
      </c>
      <c r="E32" s="4">
        <v>14.02</v>
      </c>
      <c r="F32" s="48">
        <v>62.8</v>
      </c>
      <c r="G32" s="4">
        <v>2.44</v>
      </c>
      <c r="H32" s="48">
        <v>20.73</v>
      </c>
      <c r="I32" s="4">
        <v>0</v>
      </c>
      <c r="J32" s="33">
        <f>ROUND(E32,1)</f>
        <v>14</v>
      </c>
      <c r="K32" s="34">
        <f>ROUND((E32/100)*164,0)</f>
        <v>23</v>
      </c>
      <c r="L32" s="31">
        <f>ROUND((F32/100)*164,0)</f>
        <v>103</v>
      </c>
      <c r="M32" s="34">
        <f>ROUND((G32/100)*164,0)</f>
        <v>4</v>
      </c>
      <c r="N32" s="31">
        <f>ROUND((H32/100)*164,0)</f>
        <v>34</v>
      </c>
      <c r="O32" s="34">
        <f>ROUND((I32/100)*164,0)</f>
        <v>0</v>
      </c>
    </row>
    <row r="33" spans="2:15" ht="16" x14ac:dyDescent="0.2">
      <c r="B33" s="18" t="s">
        <v>26</v>
      </c>
      <c r="C33" s="25" t="s">
        <v>16</v>
      </c>
      <c r="D33" s="14" t="s">
        <v>13</v>
      </c>
      <c r="E33" s="15">
        <v>0</v>
      </c>
      <c r="F33" s="37">
        <v>100</v>
      </c>
      <c r="G33" s="5">
        <v>0</v>
      </c>
      <c r="H33" s="37">
        <v>0</v>
      </c>
      <c r="I33" s="6">
        <v>0</v>
      </c>
      <c r="J33" s="16">
        <f>ROUND(E33,1)</f>
        <v>0</v>
      </c>
      <c r="K33" s="28">
        <f>ROUND((E33/100)*22,0)</f>
        <v>0</v>
      </c>
      <c r="L33" s="16">
        <f>ROUND((F33/100)*22,0)</f>
        <v>22</v>
      </c>
      <c r="M33" s="28">
        <f>ROUND((G33/100)*22,0)</f>
        <v>0</v>
      </c>
      <c r="N33" s="16">
        <f>ROUND((H33/100)*22,0)</f>
        <v>0</v>
      </c>
      <c r="O33" s="28">
        <f>ROUND((I33/100)*22,0)</f>
        <v>0</v>
      </c>
    </row>
    <row r="34" spans="2:15" ht="16" x14ac:dyDescent="0.2">
      <c r="B34" s="30" t="s">
        <v>17</v>
      </c>
      <c r="C34" s="47" t="s">
        <v>13</v>
      </c>
      <c r="D34" s="40" t="s">
        <v>12</v>
      </c>
      <c r="E34" s="5">
        <v>0</v>
      </c>
      <c r="F34" s="37">
        <v>100</v>
      </c>
      <c r="G34" s="5">
        <v>0</v>
      </c>
      <c r="H34" s="37">
        <v>0</v>
      </c>
      <c r="I34" s="6">
        <v>0</v>
      </c>
      <c r="J34" s="16">
        <f>ROUND(E34,1)</f>
        <v>0</v>
      </c>
      <c r="K34" s="28">
        <f>ROUND((E34/100)*15,0)</f>
        <v>0</v>
      </c>
      <c r="L34" s="16">
        <f>ROUND((F34/100)*15,0)</f>
        <v>15</v>
      </c>
      <c r="M34" s="28">
        <f>ROUND((G34/100)*15,0)</f>
        <v>0</v>
      </c>
      <c r="N34" s="16">
        <f>ROUND((H34/100)*15,0)</f>
        <v>0</v>
      </c>
      <c r="O34" s="28">
        <f>ROUND((I34/100)*15,0)</f>
        <v>0</v>
      </c>
    </row>
    <row r="35" spans="2:15" x14ac:dyDescent="0.2">
      <c r="B35" s="55" t="s">
        <v>18</v>
      </c>
      <c r="C35" s="56"/>
      <c r="D35" s="56"/>
      <c r="E35" s="34">
        <f>AVERAGE(AVERAGE(E4:E23),AVERAGE(E24:E31),E32,E33,E34)</f>
        <v>5.2625000000000002</v>
      </c>
      <c r="F35" s="34">
        <f t="shared" ref="F35:I35" si="3">AVERAGE(AVERAGE(F4:F23),AVERAGE(F24:F31),F32,F33,F34)</f>
        <v>82.088250000000002</v>
      </c>
      <c r="G35" s="31">
        <f t="shared" si="3"/>
        <v>4.3817500000000003</v>
      </c>
      <c r="H35" s="34">
        <f t="shared" si="3"/>
        <v>8.1302500000000002</v>
      </c>
      <c r="I35" s="31">
        <f t="shared" si="3"/>
        <v>0.124</v>
      </c>
      <c r="J35" s="34">
        <f>ROUND(AVERAGE(AVERAGE(J4:J23),AVERAGE(J24:J31),J32,J33,J34),1)</f>
        <v>5.3</v>
      </c>
      <c r="K35" s="34">
        <f>ROUND(AVERAGE(K4:K34),0)</f>
        <v>15</v>
      </c>
      <c r="L35" s="34">
        <f t="shared" ref="L35:O35" si="4">ROUND(AVERAGE(L4:L34),0)</f>
        <v>143</v>
      </c>
      <c r="M35" s="34">
        <f t="shared" si="4"/>
        <v>20</v>
      </c>
      <c r="N35" s="34">
        <f t="shared" si="4"/>
        <v>22</v>
      </c>
      <c r="O35" s="34">
        <f t="shared" si="4"/>
        <v>1</v>
      </c>
    </row>
  </sheetData>
  <mergeCells count="17">
    <mergeCell ref="B24:B31"/>
    <mergeCell ref="C24:C27"/>
    <mergeCell ref="C28:C31"/>
    <mergeCell ref="B35:D35"/>
    <mergeCell ref="B4:B23"/>
    <mergeCell ref="C4:C7"/>
    <mergeCell ref="C8:C11"/>
    <mergeCell ref="C12:C15"/>
    <mergeCell ref="C16:C19"/>
    <mergeCell ref="C20:C23"/>
    <mergeCell ref="J24:J27"/>
    <mergeCell ref="J28:J31"/>
    <mergeCell ref="J4:J7"/>
    <mergeCell ref="J8:J11"/>
    <mergeCell ref="J12:J15"/>
    <mergeCell ref="J16:J19"/>
    <mergeCell ref="J20:J23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CF6F-6F39-0643-86C1-4815166DE649}">
  <dimension ref="B3:O35"/>
  <sheetViews>
    <sheetView topLeftCell="C1" workbookViewId="0">
      <selection activeCell="G38" sqref="G38"/>
    </sheetView>
  </sheetViews>
  <sheetFormatPr baseColWidth="10" defaultColWidth="8.83203125" defaultRowHeight="15" x14ac:dyDescent="0.2"/>
  <cols>
    <col min="2" max="2" width="11.5" customWidth="1"/>
    <col min="3" max="3" width="16.1640625" customWidth="1"/>
    <col min="4" max="4" width="12.5" customWidth="1"/>
    <col min="5" max="5" width="18.6640625" customWidth="1"/>
    <col min="6" max="6" width="26.33203125" customWidth="1"/>
    <col min="7" max="7" width="24.1640625" customWidth="1"/>
    <col min="8" max="8" width="22.83203125" customWidth="1"/>
    <col min="9" max="9" width="21.5" customWidth="1"/>
    <col min="10" max="10" width="18.5" customWidth="1"/>
    <col min="11" max="11" width="15" customWidth="1"/>
    <col min="12" max="12" width="16.33203125" customWidth="1"/>
    <col min="13" max="13" width="17.1640625" customWidth="1"/>
    <col min="14" max="14" width="16.6640625" customWidth="1"/>
    <col min="15" max="15" width="20.1640625" customWidth="1"/>
  </cols>
  <sheetData>
    <row r="3" spans="2:15" ht="16" x14ac:dyDescent="0.2">
      <c r="B3" s="1" t="s">
        <v>0</v>
      </c>
      <c r="C3" s="2" t="s">
        <v>1</v>
      </c>
      <c r="D3" s="2" t="s">
        <v>2</v>
      </c>
      <c r="E3" s="3" t="s">
        <v>3</v>
      </c>
      <c r="F3" s="2" t="s">
        <v>4</v>
      </c>
      <c r="G3" s="3" t="s">
        <v>5</v>
      </c>
      <c r="H3" s="2" t="s">
        <v>6</v>
      </c>
      <c r="I3" s="3" t="s">
        <v>7</v>
      </c>
      <c r="J3" s="17" t="s">
        <v>20</v>
      </c>
      <c r="K3" s="18" t="s">
        <v>21</v>
      </c>
      <c r="L3" s="18" t="s">
        <v>22</v>
      </c>
      <c r="M3" s="18" t="s">
        <v>23</v>
      </c>
      <c r="N3" s="18" t="s">
        <v>24</v>
      </c>
      <c r="O3" s="18" t="s">
        <v>25</v>
      </c>
    </row>
    <row r="4" spans="2:15" ht="16" x14ac:dyDescent="0.2">
      <c r="B4" s="50" t="s">
        <v>8</v>
      </c>
      <c r="C4" s="57" t="s">
        <v>9</v>
      </c>
      <c r="D4" s="4" t="s">
        <v>10</v>
      </c>
      <c r="E4" s="9">
        <v>0</v>
      </c>
      <c r="F4" s="36">
        <v>100</v>
      </c>
      <c r="G4" s="9">
        <v>0</v>
      </c>
      <c r="H4" s="36">
        <v>0</v>
      </c>
      <c r="I4" s="10">
        <v>0</v>
      </c>
      <c r="J4" s="63">
        <f>ROUND(AVERAGE(E4:E7),1)</f>
        <v>4.4000000000000004</v>
      </c>
      <c r="K4" s="27">
        <f>ROUND((E4/100)*200,0)</f>
        <v>0</v>
      </c>
      <c r="L4" s="16">
        <f>ROUND((F4/100)*200,0)</f>
        <v>200</v>
      </c>
      <c r="M4" s="27">
        <f>ROUND((G4/100)*200,0)</f>
        <v>0</v>
      </c>
      <c r="N4" s="16">
        <f>ROUND((H4/100)*200,0)</f>
        <v>0</v>
      </c>
      <c r="O4" s="27">
        <f>ROUND((I4/100)*200,0)</f>
        <v>0</v>
      </c>
    </row>
    <row r="5" spans="2:15" ht="16" x14ac:dyDescent="0.2">
      <c r="B5" s="50"/>
      <c r="C5" s="57"/>
      <c r="D5" s="4" t="s">
        <v>11</v>
      </c>
      <c r="E5" s="5">
        <v>11</v>
      </c>
      <c r="F5" s="37">
        <v>82.5</v>
      </c>
      <c r="G5" s="5">
        <v>1</v>
      </c>
      <c r="H5" s="37">
        <v>4.5</v>
      </c>
      <c r="I5" s="6">
        <v>1</v>
      </c>
      <c r="J5" s="63"/>
      <c r="K5" s="28">
        <f t="shared" ref="K5:O23" si="0">ROUND((E5/100)*200,0)</f>
        <v>22</v>
      </c>
      <c r="L5" s="16">
        <f t="shared" si="0"/>
        <v>165</v>
      </c>
      <c r="M5" s="28">
        <f t="shared" si="0"/>
        <v>2</v>
      </c>
      <c r="N5" s="16">
        <f t="shared" si="0"/>
        <v>9</v>
      </c>
      <c r="O5" s="28">
        <f t="shared" si="0"/>
        <v>2</v>
      </c>
    </row>
    <row r="6" spans="2:15" ht="16" x14ac:dyDescent="0.2">
      <c r="B6" s="50"/>
      <c r="C6" s="57"/>
      <c r="D6" s="4" t="s">
        <v>12</v>
      </c>
      <c r="E6" s="5">
        <v>1.5</v>
      </c>
      <c r="F6" s="37">
        <v>82.5</v>
      </c>
      <c r="G6" s="5">
        <v>5.5</v>
      </c>
      <c r="H6" s="37">
        <v>10.5</v>
      </c>
      <c r="I6" s="6">
        <v>0</v>
      </c>
      <c r="J6" s="63"/>
      <c r="K6" s="28">
        <f t="shared" si="0"/>
        <v>3</v>
      </c>
      <c r="L6" s="16">
        <f t="shared" si="0"/>
        <v>165</v>
      </c>
      <c r="M6" s="28">
        <f t="shared" si="0"/>
        <v>11</v>
      </c>
      <c r="N6" s="16">
        <f t="shared" si="0"/>
        <v>21</v>
      </c>
      <c r="O6" s="28">
        <f t="shared" si="0"/>
        <v>0</v>
      </c>
    </row>
    <row r="7" spans="2:15" ht="16" x14ac:dyDescent="0.2">
      <c r="B7" s="50"/>
      <c r="C7" s="57"/>
      <c r="D7" s="4" t="s">
        <v>13</v>
      </c>
      <c r="E7" s="7">
        <v>5</v>
      </c>
      <c r="F7" s="38">
        <v>81.5</v>
      </c>
      <c r="G7" s="7">
        <v>10</v>
      </c>
      <c r="H7" s="38">
        <v>3</v>
      </c>
      <c r="I7" s="8">
        <v>0.5</v>
      </c>
      <c r="J7" s="63"/>
      <c r="K7" s="28">
        <f t="shared" si="0"/>
        <v>10</v>
      </c>
      <c r="L7" s="16">
        <f t="shared" si="0"/>
        <v>163</v>
      </c>
      <c r="M7" s="28">
        <f t="shared" si="0"/>
        <v>20</v>
      </c>
      <c r="N7" s="16">
        <f t="shared" si="0"/>
        <v>6</v>
      </c>
      <c r="O7" s="28">
        <f t="shared" si="0"/>
        <v>1</v>
      </c>
    </row>
    <row r="8" spans="2:15" ht="16" x14ac:dyDescent="0.2">
      <c r="B8" s="50"/>
      <c r="C8" s="58" t="s">
        <v>10</v>
      </c>
      <c r="D8" s="4" t="s">
        <v>9</v>
      </c>
      <c r="E8" s="9">
        <v>0</v>
      </c>
      <c r="F8" s="39">
        <v>100</v>
      </c>
      <c r="G8" s="9">
        <v>0</v>
      </c>
      <c r="H8" s="39">
        <v>0</v>
      </c>
      <c r="I8" s="10">
        <v>0</v>
      </c>
      <c r="J8" s="60">
        <f>ROUND(AVERAGE(E8:E11),1)</f>
        <v>3.4</v>
      </c>
      <c r="K8" s="27">
        <f t="shared" si="0"/>
        <v>0</v>
      </c>
      <c r="L8" s="35">
        <f t="shared" si="0"/>
        <v>200</v>
      </c>
      <c r="M8" s="27">
        <f t="shared" si="0"/>
        <v>0</v>
      </c>
      <c r="N8" s="35">
        <f t="shared" si="0"/>
        <v>0</v>
      </c>
      <c r="O8" s="27">
        <f t="shared" si="0"/>
        <v>0</v>
      </c>
    </row>
    <row r="9" spans="2:15" ht="16" x14ac:dyDescent="0.2">
      <c r="B9" s="50"/>
      <c r="C9" s="58"/>
      <c r="D9" s="4" t="s">
        <v>11</v>
      </c>
      <c r="E9" s="5">
        <v>4</v>
      </c>
      <c r="F9" s="37">
        <v>88</v>
      </c>
      <c r="G9" s="5">
        <v>2</v>
      </c>
      <c r="H9" s="37">
        <v>6</v>
      </c>
      <c r="I9" s="6">
        <v>0</v>
      </c>
      <c r="J9" s="61"/>
      <c r="K9" s="28">
        <f t="shared" si="0"/>
        <v>8</v>
      </c>
      <c r="L9" s="16">
        <f t="shared" si="0"/>
        <v>176</v>
      </c>
      <c r="M9" s="28">
        <f t="shared" si="0"/>
        <v>4</v>
      </c>
      <c r="N9" s="16">
        <f t="shared" si="0"/>
        <v>12</v>
      </c>
      <c r="O9" s="28">
        <f t="shared" si="0"/>
        <v>0</v>
      </c>
    </row>
    <row r="10" spans="2:15" ht="16" x14ac:dyDescent="0.2">
      <c r="B10" s="50"/>
      <c r="C10" s="58"/>
      <c r="D10" s="4" t="s">
        <v>12</v>
      </c>
      <c r="E10" s="5">
        <v>3.5</v>
      </c>
      <c r="F10" s="37">
        <v>82.5</v>
      </c>
      <c r="G10" s="5">
        <v>1</v>
      </c>
      <c r="H10" s="37">
        <v>12.5</v>
      </c>
      <c r="I10" s="6">
        <v>0.5</v>
      </c>
      <c r="J10" s="61"/>
      <c r="K10" s="28">
        <f t="shared" si="0"/>
        <v>7</v>
      </c>
      <c r="L10" s="16">
        <f t="shared" si="0"/>
        <v>165</v>
      </c>
      <c r="M10" s="28">
        <f t="shared" si="0"/>
        <v>2</v>
      </c>
      <c r="N10" s="16">
        <f t="shared" si="0"/>
        <v>25</v>
      </c>
      <c r="O10" s="28">
        <f t="shared" si="0"/>
        <v>1</v>
      </c>
    </row>
    <row r="11" spans="2:15" ht="16" x14ac:dyDescent="0.2">
      <c r="B11" s="50"/>
      <c r="C11" s="58"/>
      <c r="D11" s="4" t="s">
        <v>13</v>
      </c>
      <c r="E11" s="5">
        <v>6</v>
      </c>
      <c r="F11" s="37">
        <v>75.5</v>
      </c>
      <c r="G11" s="5">
        <v>13.5</v>
      </c>
      <c r="H11" s="37">
        <v>5</v>
      </c>
      <c r="I11" s="6">
        <v>0</v>
      </c>
      <c r="J11" s="62"/>
      <c r="K11" s="29">
        <f t="shared" si="0"/>
        <v>12</v>
      </c>
      <c r="L11" s="26">
        <f t="shared" si="0"/>
        <v>151</v>
      </c>
      <c r="M11" s="29">
        <f t="shared" si="0"/>
        <v>27</v>
      </c>
      <c r="N11" s="26">
        <f t="shared" si="0"/>
        <v>10</v>
      </c>
      <c r="O11" s="29">
        <f t="shared" si="0"/>
        <v>0</v>
      </c>
    </row>
    <row r="12" spans="2:15" ht="16" x14ac:dyDescent="0.2">
      <c r="B12" s="50"/>
      <c r="C12" s="59" t="s">
        <v>11</v>
      </c>
      <c r="D12" s="4" t="s">
        <v>10</v>
      </c>
      <c r="E12" s="9">
        <v>0</v>
      </c>
      <c r="F12" s="39">
        <v>100</v>
      </c>
      <c r="G12" s="9">
        <v>0</v>
      </c>
      <c r="H12" s="39">
        <v>0</v>
      </c>
      <c r="I12" s="10">
        <v>0</v>
      </c>
      <c r="J12" s="64">
        <f>ROUND(AVERAGE(E12:E15),1)</f>
        <v>0.9</v>
      </c>
      <c r="K12" s="28">
        <f t="shared" si="0"/>
        <v>0</v>
      </c>
      <c r="L12" s="16">
        <f t="shared" si="0"/>
        <v>200</v>
      </c>
      <c r="M12" s="28">
        <f t="shared" si="0"/>
        <v>0</v>
      </c>
      <c r="N12" s="16">
        <f t="shared" si="0"/>
        <v>0</v>
      </c>
      <c r="O12" s="28">
        <f t="shared" si="0"/>
        <v>0</v>
      </c>
    </row>
    <row r="13" spans="2:15" ht="16" x14ac:dyDescent="0.2">
      <c r="B13" s="50"/>
      <c r="C13" s="59"/>
      <c r="D13" s="69" t="s">
        <v>9</v>
      </c>
      <c r="E13" s="68">
        <v>0</v>
      </c>
      <c r="F13" s="68">
        <v>100</v>
      </c>
      <c r="G13" s="68">
        <v>0</v>
      </c>
      <c r="H13" s="68">
        <v>0</v>
      </c>
      <c r="I13" s="68">
        <v>0</v>
      </c>
      <c r="J13" s="64"/>
      <c r="K13" s="28">
        <f t="shared" si="0"/>
        <v>0</v>
      </c>
      <c r="L13" s="16">
        <f t="shared" si="0"/>
        <v>200</v>
      </c>
      <c r="M13" s="28">
        <f t="shared" si="0"/>
        <v>0</v>
      </c>
      <c r="N13" s="16">
        <f t="shared" si="0"/>
        <v>0</v>
      </c>
      <c r="O13" s="28">
        <f t="shared" si="0"/>
        <v>0</v>
      </c>
    </row>
    <row r="14" spans="2:15" ht="16" x14ac:dyDescent="0.2">
      <c r="B14" s="50"/>
      <c r="C14" s="59"/>
      <c r="D14" s="4" t="s">
        <v>12</v>
      </c>
      <c r="E14" s="5">
        <v>3.5</v>
      </c>
      <c r="F14" s="37">
        <v>87.5</v>
      </c>
      <c r="G14" s="5">
        <v>7.5</v>
      </c>
      <c r="H14" s="37">
        <v>1.5</v>
      </c>
      <c r="I14" s="6">
        <v>0</v>
      </c>
      <c r="J14" s="64"/>
      <c r="K14" s="28">
        <f t="shared" si="0"/>
        <v>7</v>
      </c>
      <c r="L14" s="16">
        <f t="shared" si="0"/>
        <v>175</v>
      </c>
      <c r="M14" s="28">
        <f t="shared" si="0"/>
        <v>15</v>
      </c>
      <c r="N14" s="16">
        <f t="shared" si="0"/>
        <v>3</v>
      </c>
      <c r="O14" s="28">
        <f t="shared" si="0"/>
        <v>0</v>
      </c>
    </row>
    <row r="15" spans="2:15" ht="16" x14ac:dyDescent="0.2">
      <c r="B15" s="50"/>
      <c r="C15" s="59"/>
      <c r="D15" s="4" t="s">
        <v>13</v>
      </c>
      <c r="E15" s="7">
        <v>0</v>
      </c>
      <c r="F15" s="38">
        <v>97</v>
      </c>
      <c r="G15" s="7">
        <v>1.5</v>
      </c>
      <c r="H15" s="38">
        <v>1.5</v>
      </c>
      <c r="I15" s="8">
        <v>0</v>
      </c>
      <c r="J15" s="64"/>
      <c r="K15" s="28">
        <f t="shared" si="0"/>
        <v>0</v>
      </c>
      <c r="L15" s="16">
        <f t="shared" si="0"/>
        <v>194</v>
      </c>
      <c r="M15" s="28">
        <f t="shared" si="0"/>
        <v>3</v>
      </c>
      <c r="N15" s="16">
        <f t="shared" si="0"/>
        <v>3</v>
      </c>
      <c r="O15" s="28">
        <f t="shared" si="0"/>
        <v>0</v>
      </c>
    </row>
    <row r="16" spans="2:15" ht="16" x14ac:dyDescent="0.2">
      <c r="B16" s="50"/>
      <c r="C16" s="52" t="s">
        <v>12</v>
      </c>
      <c r="D16" s="4" t="s">
        <v>10</v>
      </c>
      <c r="E16" s="9">
        <v>0</v>
      </c>
      <c r="F16" s="39">
        <v>100</v>
      </c>
      <c r="G16" s="9">
        <v>0</v>
      </c>
      <c r="H16" s="39">
        <v>0</v>
      </c>
      <c r="I16" s="10">
        <v>0</v>
      </c>
      <c r="J16" s="60">
        <f>ROUND(AVERAGE(E16:E19),1)</f>
        <v>0.1</v>
      </c>
      <c r="K16" s="27">
        <f t="shared" si="0"/>
        <v>0</v>
      </c>
      <c r="L16" s="35">
        <f t="shared" si="0"/>
        <v>200</v>
      </c>
      <c r="M16" s="27">
        <f t="shared" si="0"/>
        <v>0</v>
      </c>
      <c r="N16" s="35">
        <f t="shared" si="0"/>
        <v>0</v>
      </c>
      <c r="O16" s="27">
        <f t="shared" si="0"/>
        <v>0</v>
      </c>
    </row>
    <row r="17" spans="2:15" ht="16" x14ac:dyDescent="0.2">
      <c r="B17" s="50"/>
      <c r="C17" s="52"/>
      <c r="D17" s="19" t="s">
        <v>11</v>
      </c>
      <c r="E17" s="67">
        <v>0</v>
      </c>
      <c r="F17" s="37">
        <v>100</v>
      </c>
      <c r="G17" s="66">
        <v>0</v>
      </c>
      <c r="H17" s="37">
        <v>0</v>
      </c>
      <c r="I17" s="68">
        <v>0</v>
      </c>
      <c r="J17" s="65"/>
      <c r="K17" s="28">
        <f t="shared" si="0"/>
        <v>0</v>
      </c>
      <c r="L17" s="16">
        <f t="shared" si="0"/>
        <v>200</v>
      </c>
      <c r="M17" s="28">
        <f t="shared" si="0"/>
        <v>0</v>
      </c>
      <c r="N17" s="16">
        <f t="shared" si="0"/>
        <v>0</v>
      </c>
      <c r="O17" s="28">
        <f t="shared" si="0"/>
        <v>0</v>
      </c>
    </row>
    <row r="18" spans="2:15" ht="16" x14ac:dyDescent="0.2">
      <c r="B18" s="50"/>
      <c r="C18" s="52"/>
      <c r="D18" s="4" t="s">
        <v>9</v>
      </c>
      <c r="E18" s="66">
        <v>0</v>
      </c>
      <c r="F18" s="37">
        <v>100</v>
      </c>
      <c r="G18" s="66">
        <v>0</v>
      </c>
      <c r="H18" s="37">
        <v>0</v>
      </c>
      <c r="I18" s="6">
        <v>0</v>
      </c>
      <c r="J18" s="61"/>
      <c r="K18" s="28">
        <f t="shared" si="0"/>
        <v>0</v>
      </c>
      <c r="L18" s="16">
        <f t="shared" si="0"/>
        <v>200</v>
      </c>
      <c r="M18" s="28">
        <f t="shared" si="0"/>
        <v>0</v>
      </c>
      <c r="N18" s="16">
        <f t="shared" si="0"/>
        <v>0</v>
      </c>
      <c r="O18" s="28">
        <f t="shared" si="0"/>
        <v>0</v>
      </c>
    </row>
    <row r="19" spans="2:15" ht="16" x14ac:dyDescent="0.2">
      <c r="B19" s="50"/>
      <c r="C19" s="52"/>
      <c r="D19" s="4" t="s">
        <v>13</v>
      </c>
      <c r="E19" s="5">
        <v>0.5</v>
      </c>
      <c r="F19" s="37">
        <v>90</v>
      </c>
      <c r="G19" s="5">
        <v>9.5</v>
      </c>
      <c r="H19" s="37">
        <v>0</v>
      </c>
      <c r="I19" s="6">
        <v>0</v>
      </c>
      <c r="J19" s="62"/>
      <c r="K19" s="29">
        <f t="shared" si="0"/>
        <v>1</v>
      </c>
      <c r="L19" s="26">
        <f t="shared" si="0"/>
        <v>180</v>
      </c>
      <c r="M19" s="29">
        <f t="shared" si="0"/>
        <v>19</v>
      </c>
      <c r="N19" s="26">
        <f t="shared" si="0"/>
        <v>0</v>
      </c>
      <c r="O19" s="29">
        <f t="shared" si="0"/>
        <v>0</v>
      </c>
    </row>
    <row r="20" spans="2:15" ht="16" x14ac:dyDescent="0.2">
      <c r="B20" s="50"/>
      <c r="C20" s="53" t="s">
        <v>13</v>
      </c>
      <c r="D20" s="4" t="s">
        <v>10</v>
      </c>
      <c r="E20" s="9">
        <v>0</v>
      </c>
      <c r="F20" s="39">
        <v>100</v>
      </c>
      <c r="G20" s="9">
        <v>0</v>
      </c>
      <c r="H20" s="39">
        <v>0</v>
      </c>
      <c r="I20" s="10">
        <v>0</v>
      </c>
      <c r="J20" s="63">
        <f>ROUND(AVERAGE(E20:E23),1)</f>
        <v>1</v>
      </c>
      <c r="K20" s="28">
        <f t="shared" si="0"/>
        <v>0</v>
      </c>
      <c r="L20" s="16">
        <f t="shared" si="0"/>
        <v>200</v>
      </c>
      <c r="M20" s="28">
        <f t="shared" si="0"/>
        <v>0</v>
      </c>
      <c r="N20" s="16">
        <f t="shared" si="0"/>
        <v>0</v>
      </c>
      <c r="O20" s="28">
        <f t="shared" si="0"/>
        <v>0</v>
      </c>
    </row>
    <row r="21" spans="2:15" ht="16" x14ac:dyDescent="0.2">
      <c r="B21" s="50"/>
      <c r="C21" s="53"/>
      <c r="D21" s="4" t="s">
        <v>11</v>
      </c>
      <c r="E21" s="5">
        <v>0</v>
      </c>
      <c r="F21" s="37">
        <v>99.5</v>
      </c>
      <c r="G21" s="5">
        <v>0</v>
      </c>
      <c r="H21" s="37">
        <v>0.5</v>
      </c>
      <c r="I21" s="6">
        <v>0</v>
      </c>
      <c r="J21" s="63"/>
      <c r="K21" s="28">
        <f t="shared" si="0"/>
        <v>0</v>
      </c>
      <c r="L21" s="16">
        <f t="shared" si="0"/>
        <v>199</v>
      </c>
      <c r="M21" s="28">
        <f t="shared" si="0"/>
        <v>0</v>
      </c>
      <c r="N21" s="16">
        <f t="shared" si="0"/>
        <v>1</v>
      </c>
      <c r="O21" s="28">
        <f t="shared" si="0"/>
        <v>0</v>
      </c>
    </row>
    <row r="22" spans="2:15" ht="16" x14ac:dyDescent="0.2">
      <c r="B22" s="50"/>
      <c r="C22" s="53"/>
      <c r="D22" s="69" t="s">
        <v>12</v>
      </c>
      <c r="E22" s="68">
        <v>4</v>
      </c>
      <c r="F22" s="68">
        <v>82</v>
      </c>
      <c r="G22" s="68">
        <v>7.5</v>
      </c>
      <c r="H22" s="68">
        <v>6.5</v>
      </c>
      <c r="I22" s="68">
        <v>0</v>
      </c>
      <c r="J22" s="65"/>
      <c r="K22" s="28">
        <f t="shared" si="0"/>
        <v>8</v>
      </c>
      <c r="L22" s="16">
        <f t="shared" si="0"/>
        <v>164</v>
      </c>
      <c r="M22" s="28">
        <f t="shared" si="0"/>
        <v>15</v>
      </c>
      <c r="N22" s="16">
        <f t="shared" si="0"/>
        <v>13</v>
      </c>
      <c r="O22" s="28">
        <f t="shared" si="0"/>
        <v>0</v>
      </c>
    </row>
    <row r="23" spans="2:15" ht="16" x14ac:dyDescent="0.2">
      <c r="B23" s="50"/>
      <c r="C23" s="53"/>
      <c r="D23" s="4" t="s">
        <v>9</v>
      </c>
      <c r="E23" s="66">
        <v>0</v>
      </c>
      <c r="F23" s="37">
        <v>100</v>
      </c>
      <c r="G23" s="66">
        <v>0</v>
      </c>
      <c r="H23" s="37">
        <v>0</v>
      </c>
      <c r="I23" s="6">
        <v>0</v>
      </c>
      <c r="J23" s="63"/>
      <c r="K23" s="28">
        <f t="shared" si="0"/>
        <v>0</v>
      </c>
      <c r="L23" s="16">
        <f t="shared" si="0"/>
        <v>200</v>
      </c>
      <c r="M23" s="28">
        <f t="shared" si="0"/>
        <v>0</v>
      </c>
      <c r="N23" s="16">
        <f t="shared" si="0"/>
        <v>0</v>
      </c>
      <c r="O23" s="28">
        <f t="shared" si="0"/>
        <v>0</v>
      </c>
    </row>
    <row r="24" spans="2:15" ht="16" x14ac:dyDescent="0.2">
      <c r="B24" s="50" t="s">
        <v>14</v>
      </c>
      <c r="C24" s="52" t="s">
        <v>12</v>
      </c>
      <c r="D24" s="4" t="s">
        <v>10</v>
      </c>
      <c r="E24" s="9">
        <v>0</v>
      </c>
      <c r="F24" s="39">
        <v>100</v>
      </c>
      <c r="G24" s="9">
        <v>0</v>
      </c>
      <c r="H24" s="39">
        <v>0</v>
      </c>
      <c r="I24" s="10">
        <v>0</v>
      </c>
      <c r="J24" s="60">
        <f>ROUND(AVERAGE(E24:E27),1)</f>
        <v>0</v>
      </c>
      <c r="K24" s="43">
        <f>ROUND((E24/100)*249,0)</f>
        <v>0</v>
      </c>
      <c r="L24" s="27">
        <f>ROUND((F24/100)*249,0)</f>
        <v>249</v>
      </c>
      <c r="M24" s="35">
        <f>ROUND((G24/100)*249,0)</f>
        <v>0</v>
      </c>
      <c r="N24" s="27">
        <f>ROUND((H24/100)*249,0)</f>
        <v>0</v>
      </c>
      <c r="O24" s="46">
        <f>ROUND((I24/100)*249,0)</f>
        <v>0</v>
      </c>
    </row>
    <row r="25" spans="2:15" ht="16" x14ac:dyDescent="0.2">
      <c r="B25" s="50"/>
      <c r="C25" s="52"/>
      <c r="D25" s="4" t="s">
        <v>11</v>
      </c>
      <c r="E25" s="5">
        <v>0</v>
      </c>
      <c r="F25" s="37">
        <v>100</v>
      </c>
      <c r="G25" s="5">
        <v>0</v>
      </c>
      <c r="H25" s="37">
        <v>0</v>
      </c>
      <c r="I25" s="6">
        <v>0</v>
      </c>
      <c r="J25" s="61"/>
      <c r="K25" s="41">
        <f t="shared" ref="K25:O27" si="1">ROUND((E25/100)*249,0)</f>
        <v>0</v>
      </c>
      <c r="L25" s="28">
        <f t="shared" si="1"/>
        <v>249</v>
      </c>
      <c r="M25" s="16">
        <f t="shared" si="1"/>
        <v>0</v>
      </c>
      <c r="N25" s="28">
        <f t="shared" si="1"/>
        <v>0</v>
      </c>
      <c r="O25" s="42">
        <f t="shared" si="1"/>
        <v>0</v>
      </c>
    </row>
    <row r="26" spans="2:15" ht="16" x14ac:dyDescent="0.2">
      <c r="B26" s="50"/>
      <c r="C26" s="52"/>
      <c r="D26" s="4" t="s">
        <v>9</v>
      </c>
      <c r="E26" s="5">
        <v>0</v>
      </c>
      <c r="F26" s="37">
        <v>100</v>
      </c>
      <c r="G26" s="5">
        <v>0</v>
      </c>
      <c r="H26" s="37">
        <v>0</v>
      </c>
      <c r="I26" s="6">
        <v>0</v>
      </c>
      <c r="J26" s="61"/>
      <c r="K26" s="41">
        <f t="shared" si="1"/>
        <v>0</v>
      </c>
      <c r="L26" s="28">
        <f t="shared" si="1"/>
        <v>249</v>
      </c>
      <c r="M26" s="16">
        <f t="shared" si="1"/>
        <v>0</v>
      </c>
      <c r="N26" s="28">
        <f t="shared" si="1"/>
        <v>0</v>
      </c>
      <c r="O26" s="42">
        <f t="shared" si="1"/>
        <v>0</v>
      </c>
    </row>
    <row r="27" spans="2:15" ht="16" x14ac:dyDescent="0.2">
      <c r="B27" s="50"/>
      <c r="C27" s="52"/>
      <c r="D27" s="4" t="s">
        <v>13</v>
      </c>
      <c r="E27" s="5">
        <v>0</v>
      </c>
      <c r="F27" s="37">
        <v>98.79</v>
      </c>
      <c r="G27" s="5">
        <v>1.2</v>
      </c>
      <c r="H27" s="37">
        <v>0</v>
      </c>
      <c r="I27" s="6">
        <v>0</v>
      </c>
      <c r="J27" s="62"/>
      <c r="K27" s="44">
        <f t="shared" si="1"/>
        <v>0</v>
      </c>
      <c r="L27" s="29">
        <f t="shared" si="1"/>
        <v>246</v>
      </c>
      <c r="M27" s="26">
        <f t="shared" si="1"/>
        <v>3</v>
      </c>
      <c r="N27" s="29">
        <f t="shared" si="1"/>
        <v>0</v>
      </c>
      <c r="O27" s="45">
        <f t="shared" si="1"/>
        <v>0</v>
      </c>
    </row>
    <row r="28" spans="2:15" ht="16" x14ac:dyDescent="0.2">
      <c r="B28" s="50"/>
      <c r="C28" s="53" t="s">
        <v>13</v>
      </c>
      <c r="D28" s="4" t="s">
        <v>10</v>
      </c>
      <c r="E28" s="9">
        <v>0</v>
      </c>
      <c r="F28" s="39">
        <v>100</v>
      </c>
      <c r="G28" s="9">
        <v>0</v>
      </c>
      <c r="H28" s="39">
        <v>0</v>
      </c>
      <c r="I28" s="10">
        <v>0</v>
      </c>
      <c r="J28" s="63">
        <f>ROUND(AVERAGE(E28:E31),1)</f>
        <v>0.9</v>
      </c>
      <c r="K28" s="41">
        <f t="shared" ref="K28:O31" si="2">ROUND((E28/100)*250,0)</f>
        <v>0</v>
      </c>
      <c r="L28" s="41">
        <f t="shared" si="2"/>
        <v>250</v>
      </c>
      <c r="M28" s="41">
        <f t="shared" si="2"/>
        <v>0</v>
      </c>
      <c r="N28" s="28">
        <f t="shared" si="2"/>
        <v>0</v>
      </c>
      <c r="O28" s="28">
        <f t="shared" si="2"/>
        <v>0</v>
      </c>
    </row>
    <row r="29" spans="2:15" ht="16" x14ac:dyDescent="0.2">
      <c r="B29" s="50"/>
      <c r="C29" s="53"/>
      <c r="D29" s="4" t="s">
        <v>11</v>
      </c>
      <c r="E29" s="5">
        <v>0</v>
      </c>
      <c r="F29" s="37">
        <v>98.4</v>
      </c>
      <c r="G29" s="5">
        <v>0</v>
      </c>
      <c r="H29" s="37">
        <v>1.6</v>
      </c>
      <c r="I29" s="6">
        <v>0</v>
      </c>
      <c r="J29" s="63"/>
      <c r="K29" s="41">
        <f t="shared" si="2"/>
        <v>0</v>
      </c>
      <c r="L29" s="41">
        <f t="shared" si="2"/>
        <v>246</v>
      </c>
      <c r="M29" s="41">
        <f t="shared" si="2"/>
        <v>0</v>
      </c>
      <c r="N29" s="28">
        <f t="shared" si="2"/>
        <v>4</v>
      </c>
      <c r="O29" s="28">
        <f t="shared" si="2"/>
        <v>0</v>
      </c>
    </row>
    <row r="30" spans="2:15" ht="16" x14ac:dyDescent="0.2">
      <c r="B30" s="50"/>
      <c r="C30" s="53"/>
      <c r="D30" s="4" t="s">
        <v>12</v>
      </c>
      <c r="E30" s="5">
        <v>3.58</v>
      </c>
      <c r="F30" s="37">
        <v>79.28</v>
      </c>
      <c r="G30" s="5">
        <v>9.16</v>
      </c>
      <c r="H30" s="37">
        <v>7.57</v>
      </c>
      <c r="I30" s="6">
        <v>0.39</v>
      </c>
      <c r="J30" s="63"/>
      <c r="K30" s="41">
        <f t="shared" si="2"/>
        <v>9</v>
      </c>
      <c r="L30" s="41">
        <f t="shared" si="2"/>
        <v>198</v>
      </c>
      <c r="M30" s="41">
        <f t="shared" si="2"/>
        <v>23</v>
      </c>
      <c r="N30" s="28">
        <f t="shared" si="2"/>
        <v>19</v>
      </c>
      <c r="O30" s="28">
        <f t="shared" si="2"/>
        <v>1</v>
      </c>
    </row>
    <row r="31" spans="2:15" ht="16" x14ac:dyDescent="0.2">
      <c r="B31" s="51"/>
      <c r="C31" s="54"/>
      <c r="D31" s="12" t="s">
        <v>9</v>
      </c>
      <c r="E31" s="5">
        <v>0</v>
      </c>
      <c r="F31" s="49">
        <v>100</v>
      </c>
      <c r="G31" s="5">
        <v>0</v>
      </c>
      <c r="H31" s="49">
        <v>0</v>
      </c>
      <c r="I31" s="6">
        <v>0</v>
      </c>
      <c r="J31" s="63"/>
      <c r="K31" s="28">
        <f t="shared" si="2"/>
        <v>0</v>
      </c>
      <c r="L31" s="16">
        <f t="shared" si="2"/>
        <v>250</v>
      </c>
      <c r="M31" s="28">
        <f t="shared" si="2"/>
        <v>0</v>
      </c>
      <c r="N31" s="16">
        <f t="shared" si="2"/>
        <v>0</v>
      </c>
      <c r="O31" s="28">
        <f t="shared" si="2"/>
        <v>0</v>
      </c>
    </row>
    <row r="32" spans="2:15" ht="16" x14ac:dyDescent="0.2">
      <c r="B32" s="13" t="s">
        <v>15</v>
      </c>
      <c r="C32" s="11" t="s">
        <v>13</v>
      </c>
      <c r="D32" s="4" t="s">
        <v>12</v>
      </c>
      <c r="E32" s="4">
        <v>7.93</v>
      </c>
      <c r="F32" s="48">
        <v>82.31</v>
      </c>
      <c r="G32" s="4">
        <v>2.44</v>
      </c>
      <c r="H32" s="48">
        <v>7.31</v>
      </c>
      <c r="I32" s="4">
        <v>0</v>
      </c>
      <c r="J32" s="33">
        <f>ROUND(E32,1)</f>
        <v>7.9</v>
      </c>
      <c r="K32" s="34">
        <f>ROUND((E32/100)*164,0)</f>
        <v>13</v>
      </c>
      <c r="L32" s="31">
        <f>ROUND((F32/100)*164,0)</f>
        <v>135</v>
      </c>
      <c r="M32" s="34">
        <f>ROUND((G32/100)*164,0)</f>
        <v>4</v>
      </c>
      <c r="N32" s="31">
        <f>ROUND((H32/100)*164,0)</f>
        <v>12</v>
      </c>
      <c r="O32" s="34">
        <f>ROUND((I32/100)*164,0)</f>
        <v>0</v>
      </c>
    </row>
    <row r="33" spans="2:15" ht="16" x14ac:dyDescent="0.2">
      <c r="B33" s="18" t="s">
        <v>26</v>
      </c>
      <c r="C33" s="25" t="s">
        <v>16</v>
      </c>
      <c r="D33" s="14" t="s">
        <v>13</v>
      </c>
      <c r="E33" s="15">
        <v>0</v>
      </c>
      <c r="F33" s="37">
        <v>100</v>
      </c>
      <c r="G33" s="5">
        <v>0</v>
      </c>
      <c r="H33" s="37">
        <v>0</v>
      </c>
      <c r="I33" s="6">
        <v>0</v>
      </c>
      <c r="J33" s="16">
        <f>ROUND(E33,1)</f>
        <v>0</v>
      </c>
      <c r="K33" s="28">
        <f>ROUND((E33/100)*22,0)</f>
        <v>0</v>
      </c>
      <c r="L33" s="16">
        <f>ROUND((F33/100)*22,0)</f>
        <v>22</v>
      </c>
      <c r="M33" s="28">
        <f>ROUND((G33/100)*22,0)</f>
        <v>0</v>
      </c>
      <c r="N33" s="16">
        <f>ROUND((H33/100)*22,0)</f>
        <v>0</v>
      </c>
      <c r="O33" s="28">
        <f>ROUND((I33/100)*22,0)</f>
        <v>0</v>
      </c>
    </row>
    <row r="34" spans="2:15" ht="16" x14ac:dyDescent="0.2">
      <c r="B34" s="30" t="s">
        <v>17</v>
      </c>
      <c r="C34" s="47" t="s">
        <v>13</v>
      </c>
      <c r="D34" s="40" t="s">
        <v>12</v>
      </c>
      <c r="E34" s="5">
        <v>0</v>
      </c>
      <c r="F34" s="37">
        <v>100</v>
      </c>
      <c r="G34" s="5">
        <v>0</v>
      </c>
      <c r="H34" s="37">
        <v>0</v>
      </c>
      <c r="I34" s="6">
        <v>0</v>
      </c>
      <c r="J34" s="16">
        <f>ROUND(E34,1)</f>
        <v>0</v>
      </c>
      <c r="K34" s="28">
        <f>ROUND((E34/100)*15,0)</f>
        <v>0</v>
      </c>
      <c r="L34" s="16">
        <f>ROUND((F34/100)*15,0)</f>
        <v>15</v>
      </c>
      <c r="M34" s="28">
        <f>ROUND((G34/100)*15,0)</f>
        <v>0</v>
      </c>
      <c r="N34" s="16">
        <f>ROUND((H34/100)*15,0)</f>
        <v>0</v>
      </c>
      <c r="O34" s="28">
        <f>ROUND((I34/100)*15,0)</f>
        <v>0</v>
      </c>
    </row>
    <row r="35" spans="2:15" x14ac:dyDescent="0.2">
      <c r="B35" s="55" t="s">
        <v>18</v>
      </c>
      <c r="C35" s="56"/>
      <c r="D35" s="56"/>
      <c r="E35" s="34">
        <f>AVERAGE(AVERAGE(E4:E23),AVERAGE(E24:E31),E32,E33,E34)</f>
        <v>2.0655000000000001</v>
      </c>
      <c r="F35" s="34">
        <f t="shared" ref="F35:I35" si="3">AVERAGE(AVERAGE(F4:F23),AVERAGE(F24:F31),F32,F33,F34)</f>
        <v>94.358750000000001</v>
      </c>
      <c r="G35" s="31">
        <f t="shared" si="3"/>
        <v>1.3370000000000002</v>
      </c>
      <c r="H35" s="34">
        <f t="shared" si="3"/>
        <v>2.2062499999999998</v>
      </c>
      <c r="I35" s="31">
        <f t="shared" si="3"/>
        <v>2.9749999999999999E-2</v>
      </c>
      <c r="J35" s="34">
        <f>ROUND(AVERAGE(AVERAGE(J4:J23),AVERAGE(J24:J31),J32,J33,J34),1)</f>
        <v>2.1</v>
      </c>
      <c r="K35" s="34">
        <f>ROUND(AVERAGE(K4:K34),0)</f>
        <v>3</v>
      </c>
      <c r="L35" s="34">
        <f t="shared" ref="L35:O35" si="4">ROUND(AVERAGE(L4:L34),0)</f>
        <v>187</v>
      </c>
      <c r="M35" s="34">
        <f t="shared" si="4"/>
        <v>5</v>
      </c>
      <c r="N35" s="34">
        <f t="shared" si="4"/>
        <v>4</v>
      </c>
      <c r="O35" s="34">
        <f t="shared" si="4"/>
        <v>0</v>
      </c>
    </row>
  </sheetData>
  <mergeCells count="17">
    <mergeCell ref="B24:B31"/>
    <mergeCell ref="C24:C27"/>
    <mergeCell ref="C28:C31"/>
    <mergeCell ref="B35:D35"/>
    <mergeCell ref="B4:B23"/>
    <mergeCell ref="C4:C7"/>
    <mergeCell ref="C8:C11"/>
    <mergeCell ref="C12:C15"/>
    <mergeCell ref="C16:C19"/>
    <mergeCell ref="C20:C23"/>
    <mergeCell ref="J24:J27"/>
    <mergeCell ref="J28:J31"/>
    <mergeCell ref="J4:J7"/>
    <mergeCell ref="J8:J11"/>
    <mergeCell ref="J12:J15"/>
    <mergeCell ref="J16:J19"/>
    <mergeCell ref="J20:J2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CodeGen</vt:lpstr>
      <vt:lpstr>CodeGeeX</vt:lpstr>
      <vt:lpstr>StarCoder</vt:lpstr>
      <vt:lpstr>GPT-4</vt:lpstr>
      <vt:lpstr>Llama 2</vt:lpstr>
      <vt:lpstr>TB-Airoboros</vt:lpstr>
      <vt:lpstr>TB-Vicuna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Rangeet Pan</dc:creator>
  <cp:lastModifiedBy>Ibrahimzada, Ali Reza</cp:lastModifiedBy>
  <dcterms:created xsi:type="dcterms:W3CDTF">2023-12-25T15:38:40Z</dcterms:created>
  <dcterms:modified xsi:type="dcterms:W3CDTF">2023-12-31T19:16:05Z</dcterms:modified>
</cp:coreProperties>
</file>